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DA Intern\"/>
    </mc:Choice>
  </mc:AlternateContent>
  <xr:revisionPtr revIDLastSave="0" documentId="13_ncr:1_{92E498F0-2684-4E21-9801-CEB930ADD2D3}" xr6:coauthVersionLast="47" xr6:coauthVersionMax="47" xr10:uidLastSave="{00000000-0000-0000-0000-000000000000}"/>
  <bookViews>
    <workbookView xWindow="-120" yWindow="-120" windowWidth="20730" windowHeight="11160" tabRatio="818" activeTab="3" xr2:uid="{00000000-000D-0000-FFFF-FFFF00000000}"/>
  </bookViews>
  <sheets>
    <sheet name="DASHBOARD" sheetId="18" r:id="rId1"/>
    <sheet name="Cleaned Data" sheetId="16" r:id="rId2"/>
    <sheet name="DUMP" sheetId="1" r:id="rId3"/>
    <sheet name="Supporting Analysis" sheetId="17" r:id="rId4"/>
  </sheets>
  <externalReferences>
    <externalReference r:id="rId5"/>
  </externalReferences>
  <definedNames>
    <definedName name="_xlcn.WorksheetConnection_Book2Append321" hidden="1">[1]!Append321[#Data]</definedName>
    <definedName name="_xlcn.WorksheetConnection_Book2Append3214" hidden="1">[1]!Append3214[#Data]</definedName>
    <definedName name="_xlcn.WorksheetConnection_Book2Append321411" hidden="1">[1]!Append3214[#Data]</definedName>
    <definedName name="_xlcn.WorksheetConnection_Book2Append32142" hidden="1">[1]!Append3214[#Data]</definedName>
    <definedName name="ExternalData_2" localSheetId="1" hidden="1">'Cleaned Data'!$A$1:$D$4158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  <pivotCache cacheId="7" r:id="rId13"/>
    <pivotCache cacheId="8" r:id="rId14"/>
  </pivotCaches>
  <extLst>
    <ext xmlns:x15="http://schemas.microsoft.com/office/spreadsheetml/2010/11/main" uri="{FCE2AD5D-F65C-4FA6-A056-5C36A1767C68}">
      <x15:dataModel>
        <x15:modelTables>
          <x15:modelTable id="Append321-d1f0a675-04ae-47d9-9505-286cc3f92e2d" name="Append321" connection="WorksheetConnection_Book2!Append321"/>
          <x15:modelTable id="Append3214-63f4760e-f542-4727-af5c-a5af14e7dc24" name="Append3214" connection="WorksheetConnection_Book2!Append3214"/>
          <x15:modelTable id="Append3214-34858878-b6e4-4236-b460-4fecf1c004af" name="Append32141" connection="WorksheetConnection_Book2!Append32141"/>
          <x15:modelTable id="Append3214-1e74f296-3705-4ec9-81c1-9d35044fbd7f" name="Append32142" connection="WorksheetConnection_Book2!Append32142"/>
        </x15:modelTables>
        <x15:extLst>
          <ext xmlns:x16="http://schemas.microsoft.com/office/spreadsheetml/2014/11/main" uri="{9835A34E-60A6-4A7C-AAB8-D5F71C897F49}">
            <x16:modelTimeGroupings>
              <x16:modelTimeGrouping tableName="Append321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Append32141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Append32142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9pAWF2PIPtLsTwumsG2+tPdrDp7vMfWiCGSM/QbHGck="/>
    </ext>
  </extLst>
</workbook>
</file>

<file path=xl/calcChain.xml><?xml version="1.0" encoding="utf-8"?>
<calcChain xmlns="http://schemas.openxmlformats.org/spreadsheetml/2006/main">
  <c r="B7" i="18" l="1"/>
  <c r="AJ26" i="17"/>
  <c r="AJ22" i="17"/>
  <c r="AJ23" i="17"/>
  <c r="AJ24" i="17"/>
  <c r="AJ25" i="17"/>
  <c r="AJ21" i="17"/>
  <c r="AQ10" i="17"/>
  <c r="AQ6" i="17"/>
  <c r="AQ7" i="17"/>
  <c r="AQ8" i="17"/>
  <c r="AQ9" i="17"/>
  <c r="AQ5" i="17"/>
  <c r="E2" i="16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E162" i="16"/>
  <c r="E163" i="16"/>
  <c r="E164" i="16"/>
  <c r="E165" i="16"/>
  <c r="E166" i="16"/>
  <c r="E167" i="16"/>
  <c r="E168" i="16"/>
  <c r="E169" i="16"/>
  <c r="E170" i="16"/>
  <c r="E171" i="16"/>
  <c r="E172" i="16"/>
  <c r="E173" i="16"/>
  <c r="E174" i="16"/>
  <c r="E175" i="16"/>
  <c r="E176" i="16"/>
  <c r="E177" i="16"/>
  <c r="E178" i="16"/>
  <c r="E179" i="16"/>
  <c r="E180" i="16"/>
  <c r="E181" i="16"/>
  <c r="E182" i="16"/>
  <c r="E183" i="16"/>
  <c r="E184" i="16"/>
  <c r="E185" i="16"/>
  <c r="E186" i="16"/>
  <c r="E187" i="16"/>
  <c r="E188" i="16"/>
  <c r="E189" i="16"/>
  <c r="E190" i="16"/>
  <c r="E191" i="16"/>
  <c r="E192" i="16"/>
  <c r="E193" i="16"/>
  <c r="E194" i="16"/>
  <c r="E195" i="16"/>
  <c r="E196" i="16"/>
  <c r="E197" i="16"/>
  <c r="E198" i="16"/>
  <c r="E199" i="16"/>
  <c r="E200" i="16"/>
  <c r="E201" i="16"/>
  <c r="E202" i="16"/>
  <c r="E203" i="16"/>
  <c r="E204" i="16"/>
  <c r="E205" i="16"/>
  <c r="E206" i="16"/>
  <c r="E207" i="16"/>
  <c r="E208" i="16"/>
  <c r="E209" i="16"/>
  <c r="E210" i="16"/>
  <c r="E211" i="16"/>
  <c r="E212" i="16"/>
  <c r="E213" i="16"/>
  <c r="E214" i="16"/>
  <c r="E215" i="16"/>
  <c r="E216" i="16"/>
  <c r="E217" i="16"/>
  <c r="E218" i="16"/>
  <c r="E219" i="16"/>
  <c r="E220" i="16"/>
  <c r="E221" i="16"/>
  <c r="E222" i="16"/>
  <c r="E223" i="16"/>
  <c r="E224" i="16"/>
  <c r="E225" i="16"/>
  <c r="E226" i="16"/>
  <c r="E227" i="16"/>
  <c r="E228" i="16"/>
  <c r="E229" i="16"/>
  <c r="E230" i="16"/>
  <c r="E231" i="16"/>
  <c r="E232" i="16"/>
  <c r="E233" i="16"/>
  <c r="E234" i="16"/>
  <c r="E235" i="16"/>
  <c r="E236" i="16"/>
  <c r="E237" i="16"/>
  <c r="E238" i="16"/>
  <c r="E239" i="16"/>
  <c r="E240" i="16"/>
  <c r="E241" i="16"/>
  <c r="E242" i="16"/>
  <c r="E243" i="16"/>
  <c r="E244" i="16"/>
  <c r="E245" i="16"/>
  <c r="E246" i="16"/>
  <c r="E247" i="16"/>
  <c r="E248" i="16"/>
  <c r="E249" i="16"/>
  <c r="E250" i="16"/>
  <c r="E251" i="16"/>
  <c r="E252" i="16"/>
  <c r="E253" i="16"/>
  <c r="E254" i="16"/>
  <c r="E255" i="16"/>
  <c r="E256" i="16"/>
  <c r="E257" i="16"/>
  <c r="E258" i="16"/>
  <c r="E259" i="16"/>
  <c r="E260" i="16"/>
  <c r="E261" i="16"/>
  <c r="E262" i="16"/>
  <c r="E263" i="16"/>
  <c r="E264" i="16"/>
  <c r="E265" i="16"/>
  <c r="E266" i="16"/>
  <c r="E267" i="16"/>
  <c r="E268" i="16"/>
  <c r="E269" i="16"/>
  <c r="E270" i="16"/>
  <c r="E271" i="16"/>
  <c r="E272" i="16"/>
  <c r="E273" i="16"/>
  <c r="E274" i="16"/>
  <c r="E275" i="16"/>
  <c r="E276" i="16"/>
  <c r="E277" i="16"/>
  <c r="E278" i="16"/>
  <c r="E279" i="16"/>
  <c r="E280" i="16"/>
  <c r="E281" i="16"/>
  <c r="E282" i="16"/>
  <c r="E283" i="16"/>
  <c r="E284" i="16"/>
  <c r="E285" i="16"/>
  <c r="E286" i="16"/>
  <c r="E287" i="16"/>
  <c r="E288" i="16"/>
  <c r="E289" i="16"/>
  <c r="E290" i="16"/>
  <c r="E291" i="16"/>
  <c r="E292" i="16"/>
  <c r="E293" i="16"/>
  <c r="E294" i="16"/>
  <c r="E295" i="16"/>
  <c r="E296" i="16"/>
  <c r="E297" i="16"/>
  <c r="E298" i="16"/>
  <c r="E299" i="16"/>
  <c r="E300" i="16"/>
  <c r="E301" i="16"/>
  <c r="E302" i="16"/>
  <c r="E303" i="16"/>
  <c r="E304" i="16"/>
  <c r="E305" i="16"/>
  <c r="E306" i="16"/>
  <c r="E307" i="16"/>
  <c r="E308" i="16"/>
  <c r="E309" i="16"/>
  <c r="E310" i="16"/>
  <c r="E311" i="16"/>
  <c r="E312" i="16"/>
  <c r="E313" i="16"/>
  <c r="E314" i="16"/>
  <c r="E315" i="16"/>
  <c r="E316" i="16"/>
  <c r="E317" i="16"/>
  <c r="E318" i="16"/>
  <c r="E319" i="16"/>
  <c r="E320" i="16"/>
  <c r="E321" i="16"/>
  <c r="E322" i="16"/>
  <c r="E323" i="16"/>
  <c r="E324" i="16"/>
  <c r="E325" i="16"/>
  <c r="E326" i="16"/>
  <c r="E327" i="16"/>
  <c r="E328" i="16"/>
  <c r="E329" i="16"/>
  <c r="E330" i="16"/>
  <c r="E331" i="16"/>
  <c r="E332" i="16"/>
  <c r="E333" i="16"/>
  <c r="E334" i="16"/>
  <c r="E335" i="16"/>
  <c r="E336" i="16"/>
  <c r="E337" i="16"/>
  <c r="E338" i="16"/>
  <c r="E339" i="16"/>
  <c r="E340" i="16"/>
  <c r="E341" i="16"/>
  <c r="E342" i="16"/>
  <c r="E343" i="16"/>
  <c r="E344" i="16"/>
  <c r="E345" i="16"/>
  <c r="E346" i="16"/>
  <c r="E347" i="16"/>
  <c r="E348" i="16"/>
  <c r="E349" i="16"/>
  <c r="E350" i="16"/>
  <c r="E351" i="16"/>
  <c r="E352" i="16"/>
  <c r="E353" i="16"/>
  <c r="E354" i="16"/>
  <c r="E355" i="16"/>
  <c r="E356" i="16"/>
  <c r="E357" i="16"/>
  <c r="E358" i="16"/>
  <c r="E359" i="16"/>
  <c r="E360" i="16"/>
  <c r="E361" i="16"/>
  <c r="E362" i="16"/>
  <c r="E363" i="16"/>
  <c r="E364" i="16"/>
  <c r="E365" i="16"/>
  <c r="E366" i="16"/>
  <c r="E367" i="16"/>
  <c r="E368" i="16"/>
  <c r="E369" i="16"/>
  <c r="E370" i="16"/>
  <c r="E371" i="16"/>
  <c r="E372" i="16"/>
  <c r="E373" i="16"/>
  <c r="E374" i="16"/>
  <c r="E375" i="16"/>
  <c r="E376" i="16"/>
  <c r="E377" i="16"/>
  <c r="E378" i="16"/>
  <c r="E379" i="16"/>
  <c r="E380" i="16"/>
  <c r="E381" i="16"/>
  <c r="E382" i="16"/>
  <c r="E383" i="16"/>
  <c r="E384" i="16"/>
  <c r="E385" i="16"/>
  <c r="E386" i="16"/>
  <c r="E387" i="16"/>
  <c r="E388" i="16"/>
  <c r="E389" i="16"/>
  <c r="E390" i="16"/>
  <c r="E391" i="16"/>
  <c r="E392" i="16"/>
  <c r="E393" i="16"/>
  <c r="E394" i="16"/>
  <c r="E395" i="16"/>
  <c r="E396" i="16"/>
  <c r="E397" i="16"/>
  <c r="E398" i="16"/>
  <c r="E399" i="16"/>
  <c r="E400" i="16"/>
  <c r="E401" i="16"/>
  <c r="E402" i="16"/>
  <c r="E403" i="16"/>
  <c r="E404" i="16"/>
  <c r="E405" i="16"/>
  <c r="E406" i="16"/>
  <c r="E407" i="16"/>
  <c r="E408" i="16"/>
  <c r="E409" i="16"/>
  <c r="E410" i="16"/>
  <c r="E411" i="16"/>
  <c r="E412" i="16"/>
  <c r="E413" i="16"/>
  <c r="E414" i="16"/>
  <c r="E415" i="16"/>
  <c r="E416" i="16"/>
  <c r="E417" i="16"/>
  <c r="E418" i="16"/>
  <c r="E419" i="16"/>
  <c r="E420" i="16"/>
  <c r="E421" i="16"/>
  <c r="E422" i="16"/>
  <c r="E423" i="16"/>
  <c r="E424" i="16"/>
  <c r="E425" i="16"/>
  <c r="E426" i="16"/>
  <c r="E427" i="16"/>
  <c r="E428" i="16"/>
  <c r="E429" i="16"/>
  <c r="E430" i="16"/>
  <c r="E431" i="16"/>
  <c r="E432" i="16"/>
  <c r="E433" i="16"/>
  <c r="E434" i="16"/>
  <c r="E435" i="16"/>
  <c r="E436" i="16"/>
  <c r="E437" i="16"/>
  <c r="E438" i="16"/>
  <c r="E439" i="16"/>
  <c r="E440" i="16"/>
  <c r="E441" i="16"/>
  <c r="E442" i="16"/>
  <c r="E443" i="16"/>
  <c r="E444" i="16"/>
  <c r="E445" i="16"/>
  <c r="E446" i="16"/>
  <c r="E447" i="16"/>
  <c r="E448" i="16"/>
  <c r="E449" i="16"/>
  <c r="E450" i="16"/>
  <c r="E451" i="16"/>
  <c r="E452" i="16"/>
  <c r="E453" i="16"/>
  <c r="E454" i="16"/>
  <c r="E455" i="16"/>
  <c r="E456" i="16"/>
  <c r="E457" i="16"/>
  <c r="E458" i="16"/>
  <c r="E459" i="16"/>
  <c r="E460" i="16"/>
  <c r="E461" i="16"/>
  <c r="E462" i="16"/>
  <c r="E463" i="16"/>
  <c r="E464" i="16"/>
  <c r="E465" i="16"/>
  <c r="E466" i="16"/>
  <c r="E467" i="16"/>
  <c r="E468" i="16"/>
  <c r="E469" i="16"/>
  <c r="E470" i="16"/>
  <c r="E471" i="16"/>
  <c r="E472" i="16"/>
  <c r="E473" i="16"/>
  <c r="E474" i="16"/>
  <c r="E475" i="16"/>
  <c r="E476" i="16"/>
  <c r="E477" i="16"/>
  <c r="E478" i="16"/>
  <c r="E479" i="16"/>
  <c r="E480" i="16"/>
  <c r="E481" i="16"/>
  <c r="E482" i="16"/>
  <c r="E483" i="16"/>
  <c r="E484" i="16"/>
  <c r="E485" i="16"/>
  <c r="E486" i="16"/>
  <c r="E487" i="16"/>
  <c r="E488" i="16"/>
  <c r="E489" i="16"/>
  <c r="E490" i="16"/>
  <c r="E491" i="16"/>
  <c r="E492" i="16"/>
  <c r="E493" i="16"/>
  <c r="E494" i="16"/>
  <c r="E495" i="16"/>
  <c r="E496" i="16"/>
  <c r="E497" i="16"/>
  <c r="E498" i="16"/>
  <c r="E499" i="16"/>
  <c r="E500" i="16"/>
  <c r="E501" i="16"/>
  <c r="E502" i="16"/>
  <c r="E503" i="16"/>
  <c r="E504" i="16"/>
  <c r="E505" i="16"/>
  <c r="E506" i="16"/>
  <c r="E507" i="16"/>
  <c r="E508" i="16"/>
  <c r="E509" i="16"/>
  <c r="E510" i="16"/>
  <c r="E511" i="16"/>
  <c r="E512" i="16"/>
  <c r="E513" i="16"/>
  <c r="E514" i="16"/>
  <c r="E515" i="16"/>
  <c r="E516" i="16"/>
  <c r="E517" i="16"/>
  <c r="E518" i="16"/>
  <c r="E519" i="16"/>
  <c r="E520" i="16"/>
  <c r="E521" i="16"/>
  <c r="E522" i="16"/>
  <c r="E523" i="16"/>
  <c r="E524" i="16"/>
  <c r="E525" i="16"/>
  <c r="E526" i="16"/>
  <c r="E527" i="16"/>
  <c r="E528" i="16"/>
  <c r="E529" i="16"/>
  <c r="E530" i="16"/>
  <c r="E531" i="16"/>
  <c r="E532" i="16"/>
  <c r="E533" i="16"/>
  <c r="E534" i="16"/>
  <c r="E535" i="16"/>
  <c r="E536" i="16"/>
  <c r="E537" i="16"/>
  <c r="E538" i="16"/>
  <c r="E539" i="16"/>
  <c r="E540" i="16"/>
  <c r="E541" i="16"/>
  <c r="E542" i="16"/>
  <c r="E543" i="16"/>
  <c r="E544" i="16"/>
  <c r="E545" i="16"/>
  <c r="E546" i="16"/>
  <c r="E547" i="16"/>
  <c r="E548" i="16"/>
  <c r="E549" i="16"/>
  <c r="E550" i="16"/>
  <c r="E551" i="16"/>
  <c r="E552" i="16"/>
  <c r="E553" i="16"/>
  <c r="E554" i="16"/>
  <c r="E555" i="16"/>
  <c r="E556" i="16"/>
  <c r="E557" i="16"/>
  <c r="E558" i="16"/>
  <c r="E559" i="16"/>
  <c r="E560" i="16"/>
  <c r="E561" i="16"/>
  <c r="E562" i="16"/>
  <c r="E563" i="16"/>
  <c r="E564" i="16"/>
  <c r="E565" i="16"/>
  <c r="E566" i="16"/>
  <c r="E567" i="16"/>
  <c r="E568" i="16"/>
  <c r="E569" i="16"/>
  <c r="E570" i="16"/>
  <c r="E571" i="16"/>
  <c r="E572" i="16"/>
  <c r="E573" i="16"/>
  <c r="E574" i="16"/>
  <c r="E575" i="16"/>
  <c r="E576" i="16"/>
  <c r="E577" i="16"/>
  <c r="E578" i="16"/>
  <c r="E579" i="16"/>
  <c r="E580" i="16"/>
  <c r="E581" i="16"/>
  <c r="E582" i="16"/>
  <c r="E583" i="16"/>
  <c r="E584" i="16"/>
  <c r="E585" i="16"/>
  <c r="E586" i="16"/>
  <c r="E587" i="16"/>
  <c r="E588" i="16"/>
  <c r="E589" i="16"/>
  <c r="E590" i="16"/>
  <c r="E591" i="16"/>
  <c r="E592" i="16"/>
  <c r="E593" i="16"/>
  <c r="E594" i="16"/>
  <c r="E595" i="16"/>
  <c r="E596" i="16"/>
  <c r="E597" i="16"/>
  <c r="E598" i="16"/>
  <c r="E599" i="16"/>
  <c r="E600" i="16"/>
  <c r="E601" i="16"/>
  <c r="E602" i="16"/>
  <c r="E603" i="16"/>
  <c r="E604" i="16"/>
  <c r="E605" i="16"/>
  <c r="E606" i="16"/>
  <c r="E607" i="16"/>
  <c r="E608" i="16"/>
  <c r="E609" i="16"/>
  <c r="E610" i="16"/>
  <c r="E611" i="16"/>
  <c r="E612" i="16"/>
  <c r="E613" i="16"/>
  <c r="E614" i="16"/>
  <c r="E615" i="16"/>
  <c r="E616" i="16"/>
  <c r="E617" i="16"/>
  <c r="E618" i="16"/>
  <c r="E619" i="16"/>
  <c r="E620" i="16"/>
  <c r="E621" i="16"/>
  <c r="E622" i="16"/>
  <c r="E623" i="16"/>
  <c r="E624" i="16"/>
  <c r="E625" i="16"/>
  <c r="E626" i="16"/>
  <c r="E627" i="16"/>
  <c r="E628" i="16"/>
  <c r="E629" i="16"/>
  <c r="E630" i="16"/>
  <c r="E631" i="16"/>
  <c r="E632" i="16"/>
  <c r="E633" i="16"/>
  <c r="E634" i="16"/>
  <c r="E635" i="16"/>
  <c r="E636" i="16"/>
  <c r="E637" i="16"/>
  <c r="E638" i="16"/>
  <c r="E639" i="16"/>
  <c r="E640" i="16"/>
  <c r="E641" i="16"/>
  <c r="E642" i="16"/>
  <c r="E643" i="16"/>
  <c r="E644" i="16"/>
  <c r="E645" i="16"/>
  <c r="E646" i="16"/>
  <c r="E647" i="16"/>
  <c r="E648" i="16"/>
  <c r="E649" i="16"/>
  <c r="E650" i="16"/>
  <c r="E651" i="16"/>
  <c r="E652" i="16"/>
  <c r="E653" i="16"/>
  <c r="E654" i="16"/>
  <c r="E655" i="16"/>
  <c r="E656" i="16"/>
  <c r="E657" i="16"/>
  <c r="E658" i="16"/>
  <c r="E659" i="16"/>
  <c r="E660" i="16"/>
  <c r="E661" i="16"/>
  <c r="E662" i="16"/>
  <c r="E663" i="16"/>
  <c r="E664" i="16"/>
  <c r="E665" i="16"/>
  <c r="E666" i="16"/>
  <c r="E667" i="16"/>
  <c r="E668" i="16"/>
  <c r="E669" i="16"/>
  <c r="E670" i="16"/>
  <c r="E671" i="16"/>
  <c r="E672" i="16"/>
  <c r="E673" i="16"/>
  <c r="E674" i="16"/>
  <c r="E675" i="16"/>
  <c r="E676" i="16"/>
  <c r="E677" i="16"/>
  <c r="E678" i="16"/>
  <c r="E679" i="16"/>
  <c r="E680" i="16"/>
  <c r="E681" i="16"/>
  <c r="E682" i="16"/>
  <c r="E683" i="16"/>
  <c r="E684" i="16"/>
  <c r="E685" i="16"/>
  <c r="E686" i="16"/>
  <c r="E687" i="16"/>
  <c r="E688" i="16"/>
  <c r="E689" i="16"/>
  <c r="E690" i="16"/>
  <c r="E691" i="16"/>
  <c r="E692" i="16"/>
  <c r="E693" i="16"/>
  <c r="E694" i="16"/>
  <c r="E695" i="16"/>
  <c r="E696" i="16"/>
  <c r="E697" i="16"/>
  <c r="E698" i="16"/>
  <c r="E699" i="16"/>
  <c r="E700" i="16"/>
  <c r="E701" i="16"/>
  <c r="E702" i="16"/>
  <c r="E703" i="16"/>
  <c r="E704" i="16"/>
  <c r="E705" i="16"/>
  <c r="E706" i="16"/>
  <c r="E707" i="16"/>
  <c r="E708" i="16"/>
  <c r="E709" i="16"/>
  <c r="E710" i="16"/>
  <c r="E711" i="16"/>
  <c r="E712" i="16"/>
  <c r="E713" i="16"/>
  <c r="E714" i="16"/>
  <c r="E715" i="16"/>
  <c r="E716" i="16"/>
  <c r="E717" i="16"/>
  <c r="E718" i="16"/>
  <c r="E719" i="16"/>
  <c r="E720" i="16"/>
  <c r="E721" i="16"/>
  <c r="E722" i="16"/>
  <c r="E723" i="16"/>
  <c r="E724" i="16"/>
  <c r="E725" i="16"/>
  <c r="E726" i="16"/>
  <c r="E727" i="16"/>
  <c r="E728" i="16"/>
  <c r="E729" i="16"/>
  <c r="E730" i="16"/>
  <c r="E731" i="16"/>
  <c r="E732" i="16"/>
  <c r="E733" i="16"/>
  <c r="E734" i="16"/>
  <c r="E735" i="16"/>
  <c r="E736" i="16"/>
  <c r="E737" i="16"/>
  <c r="E738" i="16"/>
  <c r="E739" i="16"/>
  <c r="E740" i="16"/>
  <c r="E741" i="16"/>
  <c r="E742" i="16"/>
  <c r="E743" i="16"/>
  <c r="E744" i="16"/>
  <c r="E745" i="16"/>
  <c r="E746" i="16"/>
  <c r="E747" i="16"/>
  <c r="E748" i="16"/>
  <c r="E749" i="16"/>
  <c r="E750" i="16"/>
  <c r="E751" i="16"/>
  <c r="E752" i="16"/>
  <c r="E753" i="16"/>
  <c r="E754" i="16"/>
  <c r="E755" i="16"/>
  <c r="E756" i="16"/>
  <c r="E757" i="16"/>
  <c r="E758" i="16"/>
  <c r="E759" i="16"/>
  <c r="E760" i="16"/>
  <c r="E761" i="16"/>
  <c r="E762" i="16"/>
  <c r="E763" i="16"/>
  <c r="E764" i="16"/>
  <c r="E765" i="16"/>
  <c r="E766" i="16"/>
  <c r="E767" i="16"/>
  <c r="E768" i="16"/>
  <c r="E769" i="16"/>
  <c r="E770" i="16"/>
  <c r="E771" i="16"/>
  <c r="E772" i="16"/>
  <c r="E773" i="16"/>
  <c r="E774" i="16"/>
  <c r="E775" i="16"/>
  <c r="E776" i="16"/>
  <c r="E777" i="16"/>
  <c r="E778" i="16"/>
  <c r="E779" i="16"/>
  <c r="E780" i="16"/>
  <c r="E781" i="16"/>
  <c r="E782" i="16"/>
  <c r="E783" i="16"/>
  <c r="E784" i="16"/>
  <c r="E785" i="16"/>
  <c r="E786" i="16"/>
  <c r="E787" i="16"/>
  <c r="E788" i="16"/>
  <c r="E789" i="16"/>
  <c r="E790" i="16"/>
  <c r="E791" i="16"/>
  <c r="E792" i="16"/>
  <c r="E793" i="16"/>
  <c r="E794" i="16"/>
  <c r="E795" i="16"/>
  <c r="E796" i="16"/>
  <c r="E797" i="16"/>
  <c r="E798" i="16"/>
  <c r="E799" i="16"/>
  <c r="E800" i="16"/>
  <c r="E801" i="16"/>
  <c r="E802" i="16"/>
  <c r="E803" i="16"/>
  <c r="E804" i="16"/>
  <c r="E805" i="16"/>
  <c r="E806" i="16"/>
  <c r="E807" i="16"/>
  <c r="E808" i="16"/>
  <c r="E809" i="16"/>
  <c r="E810" i="16"/>
  <c r="E811" i="16"/>
  <c r="E812" i="16"/>
  <c r="E813" i="16"/>
  <c r="E814" i="16"/>
  <c r="E815" i="16"/>
  <c r="E816" i="16"/>
  <c r="E817" i="16"/>
  <c r="E818" i="16"/>
  <c r="E819" i="16"/>
  <c r="E820" i="16"/>
  <c r="E821" i="16"/>
  <c r="E822" i="16"/>
  <c r="E823" i="16"/>
  <c r="E824" i="16"/>
  <c r="E825" i="16"/>
  <c r="E826" i="16"/>
  <c r="E827" i="16"/>
  <c r="E828" i="16"/>
  <c r="E829" i="16"/>
  <c r="E830" i="16"/>
  <c r="E831" i="16"/>
  <c r="E832" i="16"/>
  <c r="E833" i="16"/>
  <c r="E834" i="16"/>
  <c r="E835" i="16"/>
  <c r="E836" i="16"/>
  <c r="E837" i="16"/>
  <c r="E838" i="16"/>
  <c r="E839" i="16"/>
  <c r="E840" i="16"/>
  <c r="E841" i="16"/>
  <c r="E842" i="16"/>
  <c r="E843" i="16"/>
  <c r="E844" i="16"/>
  <c r="E845" i="16"/>
  <c r="E846" i="16"/>
  <c r="E847" i="16"/>
  <c r="E848" i="16"/>
  <c r="E849" i="16"/>
  <c r="E850" i="16"/>
  <c r="E851" i="16"/>
  <c r="E852" i="16"/>
  <c r="E853" i="16"/>
  <c r="E854" i="16"/>
  <c r="E855" i="16"/>
  <c r="E856" i="16"/>
  <c r="E857" i="16"/>
  <c r="E858" i="16"/>
  <c r="E859" i="16"/>
  <c r="E860" i="16"/>
  <c r="E861" i="16"/>
  <c r="E862" i="16"/>
  <c r="E863" i="16"/>
  <c r="E864" i="16"/>
  <c r="E865" i="16"/>
  <c r="E866" i="16"/>
  <c r="E867" i="16"/>
  <c r="E868" i="16"/>
  <c r="E869" i="16"/>
  <c r="E870" i="16"/>
  <c r="E871" i="16"/>
  <c r="E872" i="16"/>
  <c r="E873" i="16"/>
  <c r="E874" i="16"/>
  <c r="E875" i="16"/>
  <c r="E876" i="16"/>
  <c r="E877" i="16"/>
  <c r="E878" i="16"/>
  <c r="E879" i="16"/>
  <c r="E880" i="16"/>
  <c r="E881" i="16"/>
  <c r="E882" i="16"/>
  <c r="E883" i="16"/>
  <c r="E884" i="16"/>
  <c r="E885" i="16"/>
  <c r="E886" i="16"/>
  <c r="E887" i="16"/>
  <c r="E888" i="16"/>
  <c r="E889" i="16"/>
  <c r="E890" i="16"/>
  <c r="E891" i="16"/>
  <c r="E892" i="16"/>
  <c r="E893" i="16"/>
  <c r="E894" i="16"/>
  <c r="E895" i="16"/>
  <c r="E896" i="16"/>
  <c r="E897" i="16"/>
  <c r="E898" i="16"/>
  <c r="E899" i="16"/>
  <c r="E900" i="16"/>
  <c r="E901" i="16"/>
  <c r="E902" i="16"/>
  <c r="E903" i="16"/>
  <c r="E904" i="16"/>
  <c r="E905" i="16"/>
  <c r="E906" i="16"/>
  <c r="E907" i="16"/>
  <c r="E908" i="16"/>
  <c r="E909" i="16"/>
  <c r="E910" i="16"/>
  <c r="E911" i="16"/>
  <c r="E912" i="16"/>
  <c r="E913" i="16"/>
  <c r="E914" i="16"/>
  <c r="E915" i="16"/>
  <c r="E916" i="16"/>
  <c r="E917" i="16"/>
  <c r="E918" i="16"/>
  <c r="E919" i="16"/>
  <c r="E920" i="16"/>
  <c r="E921" i="16"/>
  <c r="E922" i="16"/>
  <c r="E923" i="16"/>
  <c r="E924" i="16"/>
  <c r="E925" i="16"/>
  <c r="E926" i="16"/>
  <c r="E927" i="16"/>
  <c r="E928" i="16"/>
  <c r="E929" i="16"/>
  <c r="E930" i="16"/>
  <c r="E931" i="16"/>
  <c r="E932" i="16"/>
  <c r="E933" i="16"/>
  <c r="E934" i="16"/>
  <c r="E935" i="16"/>
  <c r="E936" i="16"/>
  <c r="E937" i="16"/>
  <c r="E938" i="16"/>
  <c r="E939" i="16"/>
  <c r="E940" i="16"/>
  <c r="E941" i="16"/>
  <c r="E942" i="16"/>
  <c r="E943" i="16"/>
  <c r="E944" i="16"/>
  <c r="E945" i="16"/>
  <c r="E946" i="16"/>
  <c r="E947" i="16"/>
  <c r="E948" i="16"/>
  <c r="E949" i="16"/>
  <c r="E950" i="16"/>
  <c r="E951" i="16"/>
  <c r="E952" i="16"/>
  <c r="E953" i="16"/>
  <c r="E954" i="16"/>
  <c r="E955" i="16"/>
  <c r="E956" i="16"/>
  <c r="E957" i="16"/>
  <c r="E958" i="16"/>
  <c r="E959" i="16"/>
  <c r="E960" i="16"/>
  <c r="E961" i="16"/>
  <c r="E962" i="16"/>
  <c r="E963" i="16"/>
  <c r="E964" i="16"/>
  <c r="E965" i="16"/>
  <c r="E966" i="16"/>
  <c r="E967" i="16"/>
  <c r="E968" i="16"/>
  <c r="E969" i="16"/>
  <c r="E970" i="16"/>
  <c r="E971" i="16"/>
  <c r="E972" i="16"/>
  <c r="E973" i="16"/>
  <c r="E974" i="16"/>
  <c r="E975" i="16"/>
  <c r="E976" i="16"/>
  <c r="E977" i="16"/>
  <c r="E978" i="16"/>
  <c r="E979" i="16"/>
  <c r="E980" i="16"/>
  <c r="E981" i="16"/>
  <c r="E982" i="16"/>
  <c r="E983" i="16"/>
  <c r="E984" i="16"/>
  <c r="E985" i="16"/>
  <c r="E986" i="16"/>
  <c r="E987" i="16"/>
  <c r="E988" i="16"/>
  <c r="E989" i="16"/>
  <c r="E990" i="16"/>
  <c r="E991" i="16"/>
  <c r="E992" i="16"/>
  <c r="E993" i="16"/>
  <c r="E994" i="16"/>
  <c r="E995" i="16"/>
  <c r="E996" i="16"/>
  <c r="E997" i="16"/>
  <c r="E998" i="16"/>
  <c r="E999" i="16"/>
  <c r="E1000" i="16"/>
  <c r="E1001" i="16"/>
  <c r="E1002" i="16"/>
  <c r="E1003" i="16"/>
  <c r="E1004" i="16"/>
  <c r="E1005" i="16"/>
  <c r="E1006" i="16"/>
  <c r="E1007" i="16"/>
  <c r="E1008" i="16"/>
  <c r="E1009" i="16"/>
  <c r="E1010" i="16"/>
  <c r="E1011" i="16"/>
  <c r="E1012" i="16"/>
  <c r="E1013" i="16"/>
  <c r="E1014" i="16"/>
  <c r="E1015" i="16"/>
  <c r="E1016" i="16"/>
  <c r="E1017" i="16"/>
  <c r="E1018" i="16"/>
  <c r="E1019" i="16"/>
  <c r="E1020" i="16"/>
  <c r="E1021" i="16"/>
  <c r="E1022" i="16"/>
  <c r="E1023" i="16"/>
  <c r="E1024" i="16"/>
  <c r="E1025" i="16"/>
  <c r="E1026" i="16"/>
  <c r="E1027" i="16"/>
  <c r="E1028" i="16"/>
  <c r="E1029" i="16"/>
  <c r="E1030" i="16"/>
  <c r="E1031" i="16"/>
  <c r="E1032" i="16"/>
  <c r="E1033" i="16"/>
  <c r="E1034" i="16"/>
  <c r="E1035" i="16"/>
  <c r="E1036" i="16"/>
  <c r="E1037" i="16"/>
  <c r="E1038" i="16"/>
  <c r="E1039" i="16"/>
  <c r="E1040" i="16"/>
  <c r="E1041" i="16"/>
  <c r="E1042" i="16"/>
  <c r="E1043" i="16"/>
  <c r="E1044" i="16"/>
  <c r="E1045" i="16"/>
  <c r="E1046" i="16"/>
  <c r="E1047" i="16"/>
  <c r="E1048" i="16"/>
  <c r="E1049" i="16"/>
  <c r="E1050" i="16"/>
  <c r="E1051" i="16"/>
  <c r="E1052" i="16"/>
  <c r="E1053" i="16"/>
  <c r="E1054" i="16"/>
  <c r="E1055" i="16"/>
  <c r="E1056" i="16"/>
  <c r="E1057" i="16"/>
  <c r="E1058" i="16"/>
  <c r="E1059" i="16"/>
  <c r="E1060" i="16"/>
  <c r="E1061" i="16"/>
  <c r="E1062" i="16"/>
  <c r="E1063" i="16"/>
  <c r="E1064" i="16"/>
  <c r="E1065" i="16"/>
  <c r="E1066" i="16"/>
  <c r="E1067" i="16"/>
  <c r="E1068" i="16"/>
  <c r="E1069" i="16"/>
  <c r="E1070" i="16"/>
  <c r="E1071" i="16"/>
  <c r="E1072" i="16"/>
  <c r="E1073" i="16"/>
  <c r="E1074" i="16"/>
  <c r="E1075" i="16"/>
  <c r="E1076" i="16"/>
  <c r="E1077" i="16"/>
  <c r="E1078" i="16"/>
  <c r="E1079" i="16"/>
  <c r="E1080" i="16"/>
  <c r="E1081" i="16"/>
  <c r="E1082" i="16"/>
  <c r="E1083" i="16"/>
  <c r="E1084" i="16"/>
  <c r="E1085" i="16"/>
  <c r="E1086" i="16"/>
  <c r="E1087" i="16"/>
  <c r="E1088" i="16"/>
  <c r="E1089" i="16"/>
  <c r="E1090" i="16"/>
  <c r="E1091" i="16"/>
  <c r="E1092" i="16"/>
  <c r="E1093" i="16"/>
  <c r="E1094" i="16"/>
  <c r="E1095" i="16"/>
  <c r="E1096" i="16"/>
  <c r="E1097" i="16"/>
  <c r="E1098" i="16"/>
  <c r="E1099" i="16"/>
  <c r="E1100" i="16"/>
  <c r="E1101" i="16"/>
  <c r="E1102" i="16"/>
  <c r="E1103" i="16"/>
  <c r="E1104" i="16"/>
  <c r="E1105" i="16"/>
  <c r="E1106" i="16"/>
  <c r="E1107" i="16"/>
  <c r="E1108" i="16"/>
  <c r="E1109" i="16"/>
  <c r="E1110" i="16"/>
  <c r="E1111" i="16"/>
  <c r="E1112" i="16"/>
  <c r="E1113" i="16"/>
  <c r="E1114" i="16"/>
  <c r="E1115" i="16"/>
  <c r="E1116" i="16"/>
  <c r="E1117" i="16"/>
  <c r="E1118" i="16"/>
  <c r="E1119" i="16"/>
  <c r="E1120" i="16"/>
  <c r="E1121" i="16"/>
  <c r="E1122" i="16"/>
  <c r="E1123" i="16"/>
  <c r="E1124" i="16"/>
  <c r="E1125" i="16"/>
  <c r="E1126" i="16"/>
  <c r="E1127" i="16"/>
  <c r="E1128" i="16"/>
  <c r="E1129" i="16"/>
  <c r="E1130" i="16"/>
  <c r="E1131" i="16"/>
  <c r="E1132" i="16"/>
  <c r="E1133" i="16"/>
  <c r="E1134" i="16"/>
  <c r="E1135" i="16"/>
  <c r="E1136" i="16"/>
  <c r="E1137" i="16"/>
  <c r="E1138" i="16"/>
  <c r="E1139" i="16"/>
  <c r="E1140" i="16"/>
  <c r="E1141" i="16"/>
  <c r="E1142" i="16"/>
  <c r="E1143" i="16"/>
  <c r="E1144" i="16"/>
  <c r="E1145" i="16"/>
  <c r="E1146" i="16"/>
  <c r="E1147" i="16"/>
  <c r="E1148" i="16"/>
  <c r="E1149" i="16"/>
  <c r="E1150" i="16"/>
  <c r="E1151" i="16"/>
  <c r="E1152" i="16"/>
  <c r="E1153" i="16"/>
  <c r="E1154" i="16"/>
  <c r="E1155" i="16"/>
  <c r="E1156" i="16"/>
  <c r="E1157" i="16"/>
  <c r="E1158" i="16"/>
  <c r="E1159" i="16"/>
  <c r="E1160" i="16"/>
  <c r="E1161" i="16"/>
  <c r="E1162" i="16"/>
  <c r="E1163" i="16"/>
  <c r="E1164" i="16"/>
  <c r="E1165" i="16"/>
  <c r="E1166" i="16"/>
  <c r="E1167" i="16"/>
  <c r="E1168" i="16"/>
  <c r="E1169" i="16"/>
  <c r="E1170" i="16"/>
  <c r="E1171" i="16"/>
  <c r="E1172" i="16"/>
  <c r="E1173" i="16"/>
  <c r="E1174" i="16"/>
  <c r="E1175" i="16"/>
  <c r="E1176" i="16"/>
  <c r="E1177" i="16"/>
  <c r="E1178" i="16"/>
  <c r="E1179" i="16"/>
  <c r="E1180" i="16"/>
  <c r="E1181" i="16"/>
  <c r="E1182" i="16"/>
  <c r="E1183" i="16"/>
  <c r="E1184" i="16"/>
  <c r="E1185" i="16"/>
  <c r="E1186" i="16"/>
  <c r="E1187" i="16"/>
  <c r="E1188" i="16"/>
  <c r="E1189" i="16"/>
  <c r="E1190" i="16"/>
  <c r="E1191" i="16"/>
  <c r="E1192" i="16"/>
  <c r="E1193" i="16"/>
  <c r="E1194" i="16"/>
  <c r="E1195" i="16"/>
  <c r="E1196" i="16"/>
  <c r="E1197" i="16"/>
  <c r="E1198" i="16"/>
  <c r="E1199" i="16"/>
  <c r="E1200" i="16"/>
  <c r="E1201" i="16"/>
  <c r="E1202" i="16"/>
  <c r="E1203" i="16"/>
  <c r="E1204" i="16"/>
  <c r="E1205" i="16"/>
  <c r="E1206" i="16"/>
  <c r="E1207" i="16"/>
  <c r="E1208" i="16"/>
  <c r="E1209" i="16"/>
  <c r="E1210" i="16"/>
  <c r="E1211" i="16"/>
  <c r="E1212" i="16"/>
  <c r="E1213" i="16"/>
  <c r="E1214" i="16"/>
  <c r="E1215" i="16"/>
  <c r="E1216" i="16"/>
  <c r="E1217" i="16"/>
  <c r="E1218" i="16"/>
  <c r="E1219" i="16"/>
  <c r="E1220" i="16"/>
  <c r="E1221" i="16"/>
  <c r="E1222" i="16"/>
  <c r="E1223" i="16"/>
  <c r="E1224" i="16"/>
  <c r="E1225" i="16"/>
  <c r="E1226" i="16"/>
  <c r="E1227" i="16"/>
  <c r="E1228" i="16"/>
  <c r="E1229" i="16"/>
  <c r="E1230" i="16"/>
  <c r="E1231" i="16"/>
  <c r="E1232" i="16"/>
  <c r="E1233" i="16"/>
  <c r="E1234" i="16"/>
  <c r="E1235" i="16"/>
  <c r="E1236" i="16"/>
  <c r="E1237" i="16"/>
  <c r="E1238" i="16"/>
  <c r="E1239" i="16"/>
  <c r="E1240" i="16"/>
  <c r="E1241" i="16"/>
  <c r="E1242" i="16"/>
  <c r="E1243" i="16"/>
  <c r="E1244" i="16"/>
  <c r="E1245" i="16"/>
  <c r="E1246" i="16"/>
  <c r="E1247" i="16"/>
  <c r="E1248" i="16"/>
  <c r="E1249" i="16"/>
  <c r="E1250" i="16"/>
  <c r="E1251" i="16"/>
  <c r="E1252" i="16"/>
  <c r="E1253" i="16"/>
  <c r="E1254" i="16"/>
  <c r="E1255" i="16"/>
  <c r="E1256" i="16"/>
  <c r="E1257" i="16"/>
  <c r="E1258" i="16"/>
  <c r="E1259" i="16"/>
  <c r="E1260" i="16"/>
  <c r="E1261" i="16"/>
  <c r="E1262" i="16"/>
  <c r="E1263" i="16"/>
  <c r="E1264" i="16"/>
  <c r="E1265" i="16"/>
  <c r="E1266" i="16"/>
  <c r="E1267" i="16"/>
  <c r="E1268" i="16"/>
  <c r="E1269" i="16"/>
  <c r="E1270" i="16"/>
  <c r="E1271" i="16"/>
  <c r="E1272" i="16"/>
  <c r="E1273" i="16"/>
  <c r="E1274" i="16"/>
  <c r="E1275" i="16"/>
  <c r="E1276" i="16"/>
  <c r="E1277" i="16"/>
  <c r="E1278" i="16"/>
  <c r="E1279" i="16"/>
  <c r="E1280" i="16"/>
  <c r="E1281" i="16"/>
  <c r="E1282" i="16"/>
  <c r="E1283" i="16"/>
  <c r="E1284" i="16"/>
  <c r="E1285" i="16"/>
  <c r="E1286" i="16"/>
  <c r="E1287" i="16"/>
  <c r="E1288" i="16"/>
  <c r="E1289" i="16"/>
  <c r="E1290" i="16"/>
  <c r="E1291" i="16"/>
  <c r="E1292" i="16"/>
  <c r="E1293" i="16"/>
  <c r="E1294" i="16"/>
  <c r="E1295" i="16"/>
  <c r="E1296" i="16"/>
  <c r="E1297" i="16"/>
  <c r="E1298" i="16"/>
  <c r="E1299" i="16"/>
  <c r="E1300" i="16"/>
  <c r="E1301" i="16"/>
  <c r="E1302" i="16"/>
  <c r="E1303" i="16"/>
  <c r="E1304" i="16"/>
  <c r="E1305" i="16"/>
  <c r="E1306" i="16"/>
  <c r="E1307" i="16"/>
  <c r="E1308" i="16"/>
  <c r="E1309" i="16"/>
  <c r="E1310" i="16"/>
  <c r="E1311" i="16"/>
  <c r="E1312" i="16"/>
  <c r="E1313" i="16"/>
  <c r="E1314" i="16"/>
  <c r="E1315" i="16"/>
  <c r="E1316" i="16"/>
  <c r="E1317" i="16"/>
  <c r="E1318" i="16"/>
  <c r="E1319" i="16"/>
  <c r="E1320" i="16"/>
  <c r="E1321" i="16"/>
  <c r="E1322" i="16"/>
  <c r="E1323" i="16"/>
  <c r="E1324" i="16"/>
  <c r="E1325" i="16"/>
  <c r="E1326" i="16"/>
  <c r="E1327" i="16"/>
  <c r="E1328" i="16"/>
  <c r="E1329" i="16"/>
  <c r="E1330" i="16"/>
  <c r="E1331" i="16"/>
  <c r="E1332" i="16"/>
  <c r="E1333" i="16"/>
  <c r="E1334" i="16"/>
  <c r="E1335" i="16"/>
  <c r="E1336" i="16"/>
  <c r="E1337" i="16"/>
  <c r="E1338" i="16"/>
  <c r="E1339" i="16"/>
  <c r="E1340" i="16"/>
  <c r="E1341" i="16"/>
  <c r="E1342" i="16"/>
  <c r="E1343" i="16"/>
  <c r="E1344" i="16"/>
  <c r="E1345" i="16"/>
  <c r="E1346" i="16"/>
  <c r="E1347" i="16"/>
  <c r="E1348" i="16"/>
  <c r="E1349" i="16"/>
  <c r="E1350" i="16"/>
  <c r="E1351" i="16"/>
  <c r="E1352" i="16"/>
  <c r="E1353" i="16"/>
  <c r="E1354" i="16"/>
  <c r="E1355" i="16"/>
  <c r="E1356" i="16"/>
  <c r="E1357" i="16"/>
  <c r="E1358" i="16"/>
  <c r="E1359" i="16"/>
  <c r="E1360" i="16"/>
  <c r="E1361" i="16"/>
  <c r="E1362" i="16"/>
  <c r="E1363" i="16"/>
  <c r="E1364" i="16"/>
  <c r="E1365" i="16"/>
  <c r="E1366" i="16"/>
  <c r="E1367" i="16"/>
  <c r="E1368" i="16"/>
  <c r="E1369" i="16"/>
  <c r="E1370" i="16"/>
  <c r="E1371" i="16"/>
  <c r="E1372" i="16"/>
  <c r="E1373" i="16"/>
  <c r="E1374" i="16"/>
  <c r="E1375" i="16"/>
  <c r="E1376" i="16"/>
  <c r="E1377" i="16"/>
  <c r="E1378" i="16"/>
  <c r="E1379" i="16"/>
  <c r="E1380" i="16"/>
  <c r="E1381" i="16"/>
  <c r="E1382" i="16"/>
  <c r="E1383" i="16"/>
  <c r="E1384" i="16"/>
  <c r="E1385" i="16"/>
  <c r="E1386" i="16"/>
  <c r="E1387" i="16"/>
  <c r="E1388" i="16"/>
  <c r="E1389" i="16"/>
  <c r="E1390" i="16"/>
  <c r="E1391" i="16"/>
  <c r="E1392" i="16"/>
  <c r="E1393" i="16"/>
  <c r="E1394" i="16"/>
  <c r="E1395" i="16"/>
  <c r="E1396" i="16"/>
  <c r="E1397" i="16"/>
  <c r="E1398" i="16"/>
  <c r="E1399" i="16"/>
  <c r="E1400" i="16"/>
  <c r="E1401" i="16"/>
  <c r="E1402" i="16"/>
  <c r="E1403" i="16"/>
  <c r="E1404" i="16"/>
  <c r="E1405" i="16"/>
  <c r="E1406" i="16"/>
  <c r="E1407" i="16"/>
  <c r="E1408" i="16"/>
  <c r="E1409" i="16"/>
  <c r="E1410" i="16"/>
  <c r="E1411" i="16"/>
  <c r="E1412" i="16"/>
  <c r="E1413" i="16"/>
  <c r="E1414" i="16"/>
  <c r="E1415" i="16"/>
  <c r="E1416" i="16"/>
  <c r="E1417" i="16"/>
  <c r="E1418" i="16"/>
  <c r="E1419" i="16"/>
  <c r="E1420" i="16"/>
  <c r="E1421" i="16"/>
  <c r="E1422" i="16"/>
  <c r="E1423" i="16"/>
  <c r="E1424" i="16"/>
  <c r="E1425" i="16"/>
  <c r="E1426" i="16"/>
  <c r="E1427" i="16"/>
  <c r="E1428" i="16"/>
  <c r="E1429" i="16"/>
  <c r="E1430" i="16"/>
  <c r="E1431" i="16"/>
  <c r="E1432" i="16"/>
  <c r="E1433" i="16"/>
  <c r="E1434" i="16"/>
  <c r="E1435" i="16"/>
  <c r="E1436" i="16"/>
  <c r="E1437" i="16"/>
  <c r="E1438" i="16"/>
  <c r="E1439" i="16"/>
  <c r="E1440" i="16"/>
  <c r="E1441" i="16"/>
  <c r="E1442" i="16"/>
  <c r="E1443" i="16"/>
  <c r="E1444" i="16"/>
  <c r="E1445" i="16"/>
  <c r="E1446" i="16"/>
  <c r="E1447" i="16"/>
  <c r="E1448" i="16"/>
  <c r="E1449" i="16"/>
  <c r="E1450" i="16"/>
  <c r="E1451" i="16"/>
  <c r="E1452" i="16"/>
  <c r="E1453" i="16"/>
  <c r="E1454" i="16"/>
  <c r="E1455" i="16"/>
  <c r="E1456" i="16"/>
  <c r="E1457" i="16"/>
  <c r="E1458" i="16"/>
  <c r="E1459" i="16"/>
  <c r="E1460" i="16"/>
  <c r="E1461" i="16"/>
  <c r="E1462" i="16"/>
  <c r="E1463" i="16"/>
  <c r="E1464" i="16"/>
  <c r="E1465" i="16"/>
  <c r="E1466" i="16"/>
  <c r="E1467" i="16"/>
  <c r="E1468" i="16"/>
  <c r="E1469" i="16"/>
  <c r="E1470" i="16"/>
  <c r="E1471" i="16"/>
  <c r="E1472" i="16"/>
  <c r="E1473" i="16"/>
  <c r="E1474" i="16"/>
  <c r="E1475" i="16"/>
  <c r="E1476" i="16"/>
  <c r="E1477" i="16"/>
  <c r="E1478" i="16"/>
  <c r="E1479" i="16"/>
  <c r="E1480" i="16"/>
  <c r="E1481" i="16"/>
  <c r="E1482" i="16"/>
  <c r="E1483" i="16"/>
  <c r="E1484" i="16"/>
  <c r="E1485" i="16"/>
  <c r="E1486" i="16"/>
  <c r="E1487" i="16"/>
  <c r="E1488" i="16"/>
  <c r="E1489" i="16"/>
  <c r="E1490" i="16"/>
  <c r="E1491" i="16"/>
  <c r="E1492" i="16"/>
  <c r="E1493" i="16"/>
  <c r="E1494" i="16"/>
  <c r="E1495" i="16"/>
  <c r="E1496" i="16"/>
  <c r="E1497" i="16"/>
  <c r="E1498" i="16"/>
  <c r="E1499" i="16"/>
  <c r="E1500" i="16"/>
  <c r="E1501" i="16"/>
  <c r="E1502" i="16"/>
  <c r="E1503" i="16"/>
  <c r="E1504" i="16"/>
  <c r="E1505" i="16"/>
  <c r="E1506" i="16"/>
  <c r="E1507" i="16"/>
  <c r="E1508" i="16"/>
  <c r="E1509" i="16"/>
  <c r="E1510" i="16"/>
  <c r="E1511" i="16"/>
  <c r="E1512" i="16"/>
  <c r="E1513" i="16"/>
  <c r="E1514" i="16"/>
  <c r="E1515" i="16"/>
  <c r="E1516" i="16"/>
  <c r="E1517" i="16"/>
  <c r="E1518" i="16"/>
  <c r="E1519" i="16"/>
  <c r="E1520" i="16"/>
  <c r="E1521" i="16"/>
  <c r="E1522" i="16"/>
  <c r="E1523" i="16"/>
  <c r="E1524" i="16"/>
  <c r="E1525" i="16"/>
  <c r="E1526" i="16"/>
  <c r="E1527" i="16"/>
  <c r="E1528" i="16"/>
  <c r="E1529" i="16"/>
  <c r="E1530" i="16"/>
  <c r="E1531" i="16"/>
  <c r="E1532" i="16"/>
  <c r="E1533" i="16"/>
  <c r="E1534" i="16"/>
  <c r="E1535" i="16"/>
  <c r="E1536" i="16"/>
  <c r="E1537" i="16"/>
  <c r="E1538" i="16"/>
  <c r="E1539" i="16"/>
  <c r="E1540" i="16"/>
  <c r="E1541" i="16"/>
  <c r="E1542" i="16"/>
  <c r="E1543" i="16"/>
  <c r="E1544" i="16"/>
  <c r="E1545" i="16"/>
  <c r="E1546" i="16"/>
  <c r="E1547" i="16"/>
  <c r="E1548" i="16"/>
  <c r="E1549" i="16"/>
  <c r="E1550" i="16"/>
  <c r="E1551" i="16"/>
  <c r="E1552" i="16"/>
  <c r="E1553" i="16"/>
  <c r="E1554" i="16"/>
  <c r="E1555" i="16"/>
  <c r="E1556" i="16"/>
  <c r="E1557" i="16"/>
  <c r="E1558" i="16"/>
  <c r="E1559" i="16"/>
  <c r="E1560" i="16"/>
  <c r="E1561" i="16"/>
  <c r="E1562" i="16"/>
  <c r="E1563" i="16"/>
  <c r="E1564" i="16"/>
  <c r="E1565" i="16"/>
  <c r="E1566" i="16"/>
  <c r="E1567" i="16"/>
  <c r="E1568" i="16"/>
  <c r="E1569" i="16"/>
  <c r="E1570" i="16"/>
  <c r="E1571" i="16"/>
  <c r="E1572" i="16"/>
  <c r="E1573" i="16"/>
  <c r="E1574" i="16"/>
  <c r="E1575" i="16"/>
  <c r="E1576" i="16"/>
  <c r="E1577" i="16"/>
  <c r="E1578" i="16"/>
  <c r="E1579" i="16"/>
  <c r="E1580" i="16"/>
  <c r="E1581" i="16"/>
  <c r="E1582" i="16"/>
  <c r="E1583" i="16"/>
  <c r="E1584" i="16"/>
  <c r="E1585" i="16"/>
  <c r="E1586" i="16"/>
  <c r="E1587" i="16"/>
  <c r="E1588" i="16"/>
  <c r="E1589" i="16"/>
  <c r="E1590" i="16"/>
  <c r="E1591" i="16"/>
  <c r="E1592" i="16"/>
  <c r="E1593" i="16"/>
  <c r="E1594" i="16"/>
  <c r="E1595" i="16"/>
  <c r="E1596" i="16"/>
  <c r="E1597" i="16"/>
  <c r="E1598" i="16"/>
  <c r="E1599" i="16"/>
  <c r="E1600" i="16"/>
  <c r="E1601" i="16"/>
  <c r="E1602" i="16"/>
  <c r="E1603" i="16"/>
  <c r="E1604" i="16"/>
  <c r="E1605" i="16"/>
  <c r="E1606" i="16"/>
  <c r="E1607" i="16"/>
  <c r="E1608" i="16"/>
  <c r="E1609" i="16"/>
  <c r="E1610" i="16"/>
  <c r="E1611" i="16"/>
  <c r="E1612" i="16"/>
  <c r="E1613" i="16"/>
  <c r="E1614" i="16"/>
  <c r="E1615" i="16"/>
  <c r="E1616" i="16"/>
  <c r="E1617" i="16"/>
  <c r="E1618" i="16"/>
  <c r="E1619" i="16"/>
  <c r="E1620" i="16"/>
  <c r="E1621" i="16"/>
  <c r="E1622" i="16"/>
  <c r="E1623" i="16"/>
  <c r="E1624" i="16"/>
  <c r="E1625" i="16"/>
  <c r="E1626" i="16"/>
  <c r="E1627" i="16"/>
  <c r="E1628" i="16"/>
  <c r="E1629" i="16"/>
  <c r="E1630" i="16"/>
  <c r="E1631" i="16"/>
  <c r="E1632" i="16"/>
  <c r="E1633" i="16"/>
  <c r="E1634" i="16"/>
  <c r="E1635" i="16"/>
  <c r="E1636" i="16"/>
  <c r="E1637" i="16"/>
  <c r="E1638" i="16"/>
  <c r="E1639" i="16"/>
  <c r="E1640" i="16"/>
  <c r="E1641" i="16"/>
  <c r="E1642" i="16"/>
  <c r="E1643" i="16"/>
  <c r="E1644" i="16"/>
  <c r="E1645" i="16"/>
  <c r="E1646" i="16"/>
  <c r="E1647" i="16"/>
  <c r="E1648" i="16"/>
  <c r="E1649" i="16"/>
  <c r="E1650" i="16"/>
  <c r="E1651" i="16"/>
  <c r="E1652" i="16"/>
  <c r="E1653" i="16"/>
  <c r="E1654" i="16"/>
  <c r="E1655" i="16"/>
  <c r="E1656" i="16"/>
  <c r="E1657" i="16"/>
  <c r="E1658" i="16"/>
  <c r="E1659" i="16"/>
  <c r="E1660" i="16"/>
  <c r="E1661" i="16"/>
  <c r="E1662" i="16"/>
  <c r="E1663" i="16"/>
  <c r="E1664" i="16"/>
  <c r="E1665" i="16"/>
  <c r="E1666" i="16"/>
  <c r="E1667" i="16"/>
  <c r="E1668" i="16"/>
  <c r="E1669" i="16"/>
  <c r="E1670" i="16"/>
  <c r="E1671" i="16"/>
  <c r="E1672" i="16"/>
  <c r="E1673" i="16"/>
  <c r="E1674" i="16"/>
  <c r="E1675" i="16"/>
  <c r="E1676" i="16"/>
  <c r="E1677" i="16"/>
  <c r="E1678" i="16"/>
  <c r="E1679" i="16"/>
  <c r="E1680" i="16"/>
  <c r="E1681" i="16"/>
  <c r="E1682" i="16"/>
  <c r="E1683" i="16"/>
  <c r="E1684" i="16"/>
  <c r="E1685" i="16"/>
  <c r="E1686" i="16"/>
  <c r="E1687" i="16"/>
  <c r="E1688" i="16"/>
  <c r="E1689" i="16"/>
  <c r="E1690" i="16"/>
  <c r="E1691" i="16"/>
  <c r="E1692" i="16"/>
  <c r="E1693" i="16"/>
  <c r="E1694" i="16"/>
  <c r="E1695" i="16"/>
  <c r="E1696" i="16"/>
  <c r="E1697" i="16"/>
  <c r="E1698" i="16"/>
  <c r="E1699" i="16"/>
  <c r="E1700" i="16"/>
  <c r="E1701" i="16"/>
  <c r="E1702" i="16"/>
  <c r="E1703" i="16"/>
  <c r="E1704" i="16"/>
  <c r="E1705" i="16"/>
  <c r="E1706" i="16"/>
  <c r="E1707" i="16"/>
  <c r="E1708" i="16"/>
  <c r="E1709" i="16"/>
  <c r="E1710" i="16"/>
  <c r="E1711" i="16"/>
  <c r="E1712" i="16"/>
  <c r="E1713" i="16"/>
  <c r="E1714" i="16"/>
  <c r="E1715" i="16"/>
  <c r="E1716" i="16"/>
  <c r="E1717" i="16"/>
  <c r="E1718" i="16"/>
  <c r="E1719" i="16"/>
  <c r="E1720" i="16"/>
  <c r="E1721" i="16"/>
  <c r="E1722" i="16"/>
  <c r="E1723" i="16"/>
  <c r="E1724" i="16"/>
  <c r="E1725" i="16"/>
  <c r="E1726" i="16"/>
  <c r="E1727" i="16"/>
  <c r="E1728" i="16"/>
  <c r="E1729" i="16"/>
  <c r="E1730" i="16"/>
  <c r="E1731" i="16"/>
  <c r="E1732" i="16"/>
  <c r="E1733" i="16"/>
  <c r="E1734" i="16"/>
  <c r="E1735" i="16"/>
  <c r="E1736" i="16"/>
  <c r="E1737" i="16"/>
  <c r="E1738" i="16"/>
  <c r="E1739" i="16"/>
  <c r="E1740" i="16"/>
  <c r="E1741" i="16"/>
  <c r="E1742" i="16"/>
  <c r="E1743" i="16"/>
  <c r="E1744" i="16"/>
  <c r="E1745" i="16"/>
  <c r="E1746" i="16"/>
  <c r="E1747" i="16"/>
  <c r="E1748" i="16"/>
  <c r="E1749" i="16"/>
  <c r="E1750" i="16"/>
  <c r="E1751" i="16"/>
  <c r="E1752" i="16"/>
  <c r="E1753" i="16"/>
  <c r="E1754" i="16"/>
  <c r="E1755" i="16"/>
  <c r="E1756" i="16"/>
  <c r="E1757" i="16"/>
  <c r="E1758" i="16"/>
  <c r="E1759" i="16"/>
  <c r="E1760" i="16"/>
  <c r="E1761" i="16"/>
  <c r="E1762" i="16"/>
  <c r="E1763" i="16"/>
  <c r="E1764" i="16"/>
  <c r="E1765" i="16"/>
  <c r="E1766" i="16"/>
  <c r="E1767" i="16"/>
  <c r="E1768" i="16"/>
  <c r="E1769" i="16"/>
  <c r="E1770" i="16"/>
  <c r="E1771" i="16"/>
  <c r="E1772" i="16"/>
  <c r="E1773" i="16"/>
  <c r="E1774" i="16"/>
  <c r="E1775" i="16"/>
  <c r="E1776" i="16"/>
  <c r="E1777" i="16"/>
  <c r="E1778" i="16"/>
  <c r="E1779" i="16"/>
  <c r="E1780" i="16"/>
  <c r="E1781" i="16"/>
  <c r="E1782" i="16"/>
  <c r="E1783" i="16"/>
  <c r="E1784" i="16"/>
  <c r="E1785" i="16"/>
  <c r="E1786" i="16"/>
  <c r="E1787" i="16"/>
  <c r="E1788" i="16"/>
  <c r="E1789" i="16"/>
  <c r="E1790" i="16"/>
  <c r="E1791" i="16"/>
  <c r="E1792" i="16"/>
  <c r="E1793" i="16"/>
  <c r="E1794" i="16"/>
  <c r="E1795" i="16"/>
  <c r="E1796" i="16"/>
  <c r="E1797" i="16"/>
  <c r="E1798" i="16"/>
  <c r="E1799" i="16"/>
  <c r="E1800" i="16"/>
  <c r="E1801" i="16"/>
  <c r="E1802" i="16"/>
  <c r="E1803" i="16"/>
  <c r="E1804" i="16"/>
  <c r="E1805" i="16"/>
  <c r="E1806" i="16"/>
  <c r="E1807" i="16"/>
  <c r="E1808" i="16"/>
  <c r="E1809" i="16"/>
  <c r="E1810" i="16"/>
  <c r="E1811" i="16"/>
  <c r="E1812" i="16"/>
  <c r="E1813" i="16"/>
  <c r="E1814" i="16"/>
  <c r="E1815" i="16"/>
  <c r="E1816" i="16"/>
  <c r="E1817" i="16"/>
  <c r="E1818" i="16"/>
  <c r="E1819" i="16"/>
  <c r="E1820" i="16"/>
  <c r="E1821" i="16"/>
  <c r="E1822" i="16"/>
  <c r="E1823" i="16"/>
  <c r="E1824" i="16"/>
  <c r="E1825" i="16"/>
  <c r="E1826" i="16"/>
  <c r="E1827" i="16"/>
  <c r="E1828" i="16"/>
  <c r="E1829" i="16"/>
  <c r="E1830" i="16"/>
  <c r="E1831" i="16"/>
  <c r="E1832" i="16"/>
  <c r="E1833" i="16"/>
  <c r="E1834" i="16"/>
  <c r="E1835" i="16"/>
  <c r="E1836" i="16"/>
  <c r="E1837" i="16"/>
  <c r="E1838" i="16"/>
  <c r="E1839" i="16"/>
  <c r="E1840" i="16"/>
  <c r="E1841" i="16"/>
  <c r="E1842" i="16"/>
  <c r="E1843" i="16"/>
  <c r="E1844" i="16"/>
  <c r="E1845" i="16"/>
  <c r="E1846" i="16"/>
  <c r="E1847" i="16"/>
  <c r="E1848" i="16"/>
  <c r="E1849" i="16"/>
  <c r="E1850" i="16"/>
  <c r="E1851" i="16"/>
  <c r="E1852" i="16"/>
  <c r="E1853" i="16"/>
  <c r="E1854" i="16"/>
  <c r="E1855" i="16"/>
  <c r="E1856" i="16"/>
  <c r="E1857" i="16"/>
  <c r="E1858" i="16"/>
  <c r="E1859" i="16"/>
  <c r="E1860" i="16"/>
  <c r="E1861" i="16"/>
  <c r="E1862" i="16"/>
  <c r="E1863" i="16"/>
  <c r="E1864" i="16"/>
  <c r="E1865" i="16"/>
  <c r="E1866" i="16"/>
  <c r="E1867" i="16"/>
  <c r="E1868" i="16"/>
  <c r="E1869" i="16"/>
  <c r="E1870" i="16"/>
  <c r="E1871" i="16"/>
  <c r="E1872" i="16"/>
  <c r="E1873" i="16"/>
  <c r="E1874" i="16"/>
  <c r="E1875" i="16"/>
  <c r="E1876" i="16"/>
  <c r="E1877" i="16"/>
  <c r="E1878" i="16"/>
  <c r="E1879" i="16"/>
  <c r="E1880" i="16"/>
  <c r="E1881" i="16"/>
  <c r="E1882" i="16"/>
  <c r="E1883" i="16"/>
  <c r="E1884" i="16"/>
  <c r="E1885" i="16"/>
  <c r="E1886" i="16"/>
  <c r="E1887" i="16"/>
  <c r="E1888" i="16"/>
  <c r="E1889" i="16"/>
  <c r="E1890" i="16"/>
  <c r="E1891" i="16"/>
  <c r="E1892" i="16"/>
  <c r="E1893" i="16"/>
  <c r="E1894" i="16"/>
  <c r="E1895" i="16"/>
  <c r="E1896" i="16"/>
  <c r="E1897" i="16"/>
  <c r="E1898" i="16"/>
  <c r="E1899" i="16"/>
  <c r="E1900" i="16"/>
  <c r="E1901" i="16"/>
  <c r="E1902" i="16"/>
  <c r="E1903" i="16"/>
  <c r="E1904" i="16"/>
  <c r="E1905" i="16"/>
  <c r="E1906" i="16"/>
  <c r="E1907" i="16"/>
  <c r="E1908" i="16"/>
  <c r="E1909" i="16"/>
  <c r="E1910" i="16"/>
  <c r="E1911" i="16"/>
  <c r="E1912" i="16"/>
  <c r="E1913" i="16"/>
  <c r="E1914" i="16"/>
  <c r="E1915" i="16"/>
  <c r="E1916" i="16"/>
  <c r="E1917" i="16"/>
  <c r="E1918" i="16"/>
  <c r="E1919" i="16"/>
  <c r="E1920" i="16"/>
  <c r="E1921" i="16"/>
  <c r="E1922" i="16"/>
  <c r="E1923" i="16"/>
  <c r="E1924" i="16"/>
  <c r="E1925" i="16"/>
  <c r="E1926" i="16"/>
  <c r="E1927" i="16"/>
  <c r="E1928" i="16"/>
  <c r="E1929" i="16"/>
  <c r="E1930" i="16"/>
  <c r="E1931" i="16"/>
  <c r="E1932" i="16"/>
  <c r="E1933" i="16"/>
  <c r="E1934" i="16"/>
  <c r="E1935" i="16"/>
  <c r="E1936" i="16"/>
  <c r="E1937" i="16"/>
  <c r="E1938" i="16"/>
  <c r="E1939" i="16"/>
  <c r="E1940" i="16"/>
  <c r="E1941" i="16"/>
  <c r="E1942" i="16"/>
  <c r="E1943" i="16"/>
  <c r="E1944" i="16"/>
  <c r="E1945" i="16"/>
  <c r="E1946" i="16"/>
  <c r="E1947" i="16"/>
  <c r="E1948" i="16"/>
  <c r="E1949" i="16"/>
  <c r="E1950" i="16"/>
  <c r="E1951" i="16"/>
  <c r="E1952" i="16"/>
  <c r="E1953" i="16"/>
  <c r="E1954" i="16"/>
  <c r="E1955" i="16"/>
  <c r="E1956" i="16"/>
  <c r="E1957" i="16"/>
  <c r="E1958" i="16"/>
  <c r="E1959" i="16"/>
  <c r="E1960" i="16"/>
  <c r="E1961" i="16"/>
  <c r="E1962" i="16"/>
  <c r="E1963" i="16"/>
  <c r="E1964" i="16"/>
  <c r="E1965" i="16"/>
  <c r="E1966" i="16"/>
  <c r="E1967" i="16"/>
  <c r="E1968" i="16"/>
  <c r="E1969" i="16"/>
  <c r="E1970" i="16"/>
  <c r="E1971" i="16"/>
  <c r="E1972" i="16"/>
  <c r="E1973" i="16"/>
  <c r="E1974" i="16"/>
  <c r="E1975" i="16"/>
  <c r="E1976" i="16"/>
  <c r="E1977" i="16"/>
  <c r="E1978" i="16"/>
  <c r="E1979" i="16"/>
  <c r="E1980" i="16"/>
  <c r="E1981" i="16"/>
  <c r="E1982" i="16"/>
  <c r="E1983" i="16"/>
  <c r="E1984" i="16"/>
  <c r="E1985" i="16"/>
  <c r="E1986" i="16"/>
  <c r="E1987" i="16"/>
  <c r="E1988" i="16"/>
  <c r="E1989" i="16"/>
  <c r="E1990" i="16"/>
  <c r="E1991" i="16"/>
  <c r="E1992" i="16"/>
  <c r="E1993" i="16"/>
  <c r="E1994" i="16"/>
  <c r="E1995" i="16"/>
  <c r="E1996" i="16"/>
  <c r="E1997" i="16"/>
  <c r="E1998" i="16"/>
  <c r="E1999" i="16"/>
  <c r="E2000" i="16"/>
  <c r="E2001" i="16"/>
  <c r="E2002" i="16"/>
  <c r="E2003" i="16"/>
  <c r="E2004" i="16"/>
  <c r="E2005" i="16"/>
  <c r="E2006" i="16"/>
  <c r="E2007" i="16"/>
  <c r="E2008" i="16"/>
  <c r="E2009" i="16"/>
  <c r="E2010" i="16"/>
  <c r="E2011" i="16"/>
  <c r="E2012" i="16"/>
  <c r="E2013" i="16"/>
  <c r="E2014" i="16"/>
  <c r="E2015" i="16"/>
  <c r="E2016" i="16"/>
  <c r="E2017" i="16"/>
  <c r="E2018" i="16"/>
  <c r="E2019" i="16"/>
  <c r="E2020" i="16"/>
  <c r="E2021" i="16"/>
  <c r="E2022" i="16"/>
  <c r="E2023" i="16"/>
  <c r="E2024" i="16"/>
  <c r="E2025" i="16"/>
  <c r="E2026" i="16"/>
  <c r="E2027" i="16"/>
  <c r="E2028" i="16"/>
  <c r="E2029" i="16"/>
  <c r="E2030" i="16"/>
  <c r="E2031" i="16"/>
  <c r="E2032" i="16"/>
  <c r="E2033" i="16"/>
  <c r="E2034" i="16"/>
  <c r="E2035" i="16"/>
  <c r="E2036" i="16"/>
  <c r="E2037" i="16"/>
  <c r="E2038" i="16"/>
  <c r="E2039" i="16"/>
  <c r="E2040" i="16"/>
  <c r="E2041" i="16"/>
  <c r="E2042" i="16"/>
  <c r="E2043" i="16"/>
  <c r="E2044" i="16"/>
  <c r="E2045" i="16"/>
  <c r="E2046" i="16"/>
  <c r="E2047" i="16"/>
  <c r="E2048" i="16"/>
  <c r="E2049" i="16"/>
  <c r="E2050" i="16"/>
  <c r="E2051" i="16"/>
  <c r="E2052" i="16"/>
  <c r="E2053" i="16"/>
  <c r="E2054" i="16"/>
  <c r="E2055" i="16"/>
  <c r="E2056" i="16"/>
  <c r="E2057" i="16"/>
  <c r="E2058" i="16"/>
  <c r="E2059" i="16"/>
  <c r="E2060" i="16"/>
  <c r="E2061" i="16"/>
  <c r="E2062" i="16"/>
  <c r="E2063" i="16"/>
  <c r="E2064" i="16"/>
  <c r="E2065" i="16"/>
  <c r="E2066" i="16"/>
  <c r="E2067" i="16"/>
  <c r="E2068" i="16"/>
  <c r="E2069" i="16"/>
  <c r="E2070" i="16"/>
  <c r="E2071" i="16"/>
  <c r="E2072" i="16"/>
  <c r="E2073" i="16"/>
  <c r="E2074" i="16"/>
  <c r="E2075" i="16"/>
  <c r="E2076" i="16"/>
  <c r="E2077" i="16"/>
  <c r="E2078" i="16"/>
  <c r="E2079" i="16"/>
  <c r="E2080" i="16"/>
  <c r="E2081" i="16"/>
  <c r="E2082" i="16"/>
  <c r="E2083" i="16"/>
  <c r="E2084" i="16"/>
  <c r="E2085" i="16"/>
  <c r="E2086" i="16"/>
  <c r="E2087" i="16"/>
  <c r="E2088" i="16"/>
  <c r="E2089" i="16"/>
  <c r="E2090" i="16"/>
  <c r="E2091" i="16"/>
  <c r="E2092" i="16"/>
  <c r="E2093" i="16"/>
  <c r="E2094" i="16"/>
  <c r="E2095" i="16"/>
  <c r="E2096" i="16"/>
  <c r="E2097" i="16"/>
  <c r="E2098" i="16"/>
  <c r="E2099" i="16"/>
  <c r="E2100" i="16"/>
  <c r="E2101" i="16"/>
  <c r="E2102" i="16"/>
  <c r="E2103" i="16"/>
  <c r="E2104" i="16"/>
  <c r="E2105" i="16"/>
  <c r="E2106" i="16"/>
  <c r="E2107" i="16"/>
  <c r="E2108" i="16"/>
  <c r="E2109" i="16"/>
  <c r="E2110" i="16"/>
  <c r="E2111" i="16"/>
  <c r="E2112" i="16"/>
  <c r="E2113" i="16"/>
  <c r="E2114" i="16"/>
  <c r="E2115" i="16"/>
  <c r="E2116" i="16"/>
  <c r="E2117" i="16"/>
  <c r="E2118" i="16"/>
  <c r="E2119" i="16"/>
  <c r="E2120" i="16"/>
  <c r="E2121" i="16"/>
  <c r="E2122" i="16"/>
  <c r="E2123" i="16"/>
  <c r="E2124" i="16"/>
  <c r="E2125" i="16"/>
  <c r="E2126" i="16"/>
  <c r="E2127" i="16"/>
  <c r="E2128" i="16"/>
  <c r="E2129" i="16"/>
  <c r="E2130" i="16"/>
  <c r="E2131" i="16"/>
  <c r="E2132" i="16"/>
  <c r="E2133" i="16"/>
  <c r="E2134" i="16"/>
  <c r="E2135" i="16"/>
  <c r="E2136" i="16"/>
  <c r="E2137" i="16"/>
  <c r="E2138" i="16"/>
  <c r="E2139" i="16"/>
  <c r="E2140" i="16"/>
  <c r="E2141" i="16"/>
  <c r="E2142" i="16"/>
  <c r="E2143" i="16"/>
  <c r="E2144" i="16"/>
  <c r="E2145" i="16"/>
  <c r="E2146" i="16"/>
  <c r="E2147" i="16"/>
  <c r="E2148" i="16"/>
  <c r="E2149" i="16"/>
  <c r="E2150" i="16"/>
  <c r="E2151" i="16"/>
  <c r="E2152" i="16"/>
  <c r="E2153" i="16"/>
  <c r="E2154" i="16"/>
  <c r="E2155" i="16"/>
  <c r="E2156" i="16"/>
  <c r="E2157" i="16"/>
  <c r="E2158" i="16"/>
  <c r="E2159" i="16"/>
  <c r="E2160" i="16"/>
  <c r="E2161" i="16"/>
  <c r="E2162" i="16"/>
  <c r="E2163" i="16"/>
  <c r="E2164" i="16"/>
  <c r="E2165" i="16"/>
  <c r="E2166" i="16"/>
  <c r="E2167" i="16"/>
  <c r="E2168" i="16"/>
  <c r="E2169" i="16"/>
  <c r="E2170" i="16"/>
  <c r="E2171" i="16"/>
  <c r="E2172" i="16"/>
  <c r="E2173" i="16"/>
  <c r="E2174" i="16"/>
  <c r="E2175" i="16"/>
  <c r="E2176" i="16"/>
  <c r="E2177" i="16"/>
  <c r="E2178" i="16"/>
  <c r="E2179" i="16"/>
  <c r="E2180" i="16"/>
  <c r="E2181" i="16"/>
  <c r="E2182" i="16"/>
  <c r="E2183" i="16"/>
  <c r="E2184" i="16"/>
  <c r="E2185" i="16"/>
  <c r="E2186" i="16"/>
  <c r="E2187" i="16"/>
  <c r="E2188" i="16"/>
  <c r="E2189" i="16"/>
  <c r="E2190" i="16"/>
  <c r="E2191" i="16"/>
  <c r="E2192" i="16"/>
  <c r="E2193" i="16"/>
  <c r="E2194" i="16"/>
  <c r="E2195" i="16"/>
  <c r="E2196" i="16"/>
  <c r="E2197" i="16"/>
  <c r="E2198" i="16"/>
  <c r="E2199" i="16"/>
  <c r="E2200" i="16"/>
  <c r="E2201" i="16"/>
  <c r="E2202" i="16"/>
  <c r="E2203" i="16"/>
  <c r="E2204" i="16"/>
  <c r="E2205" i="16"/>
  <c r="E2206" i="16"/>
  <c r="E2207" i="16"/>
  <c r="E2208" i="16"/>
  <c r="E2209" i="16"/>
  <c r="E2210" i="16"/>
  <c r="E2211" i="16"/>
  <c r="E2212" i="16"/>
  <c r="E2213" i="16"/>
  <c r="E2214" i="16"/>
  <c r="E2215" i="16"/>
  <c r="E2216" i="16"/>
  <c r="E2217" i="16"/>
  <c r="E2218" i="16"/>
  <c r="E2219" i="16"/>
  <c r="E2220" i="16"/>
  <c r="E2221" i="16"/>
  <c r="E2222" i="16"/>
  <c r="E2223" i="16"/>
  <c r="E2224" i="16"/>
  <c r="E2225" i="16"/>
  <c r="E2226" i="16"/>
  <c r="E2227" i="16"/>
  <c r="E2228" i="16"/>
  <c r="E2229" i="16"/>
  <c r="E2230" i="16"/>
  <c r="E2231" i="16"/>
  <c r="E2232" i="16"/>
  <c r="E2233" i="16"/>
  <c r="E2234" i="16"/>
  <c r="E2235" i="16"/>
  <c r="E2236" i="16"/>
  <c r="E2237" i="16"/>
  <c r="E2238" i="16"/>
  <c r="E2239" i="16"/>
  <c r="E2240" i="16"/>
  <c r="E2241" i="16"/>
  <c r="E2242" i="16"/>
  <c r="E2243" i="16"/>
  <c r="E2244" i="16"/>
  <c r="E2245" i="16"/>
  <c r="E2246" i="16"/>
  <c r="E2247" i="16"/>
  <c r="E2248" i="16"/>
  <c r="E2249" i="16"/>
  <c r="E2250" i="16"/>
  <c r="E2251" i="16"/>
  <c r="E2252" i="16"/>
  <c r="E2253" i="16"/>
  <c r="E2254" i="16"/>
  <c r="E2255" i="16"/>
  <c r="E2256" i="16"/>
  <c r="E2257" i="16"/>
  <c r="E2258" i="16"/>
  <c r="E2259" i="16"/>
  <c r="E2260" i="16"/>
  <c r="E2261" i="16"/>
  <c r="E2262" i="16"/>
  <c r="E2263" i="16"/>
  <c r="E2264" i="16"/>
  <c r="E2265" i="16"/>
  <c r="E2266" i="16"/>
  <c r="E2267" i="16"/>
  <c r="E2268" i="16"/>
  <c r="E2269" i="16"/>
  <c r="E2270" i="16"/>
  <c r="E2271" i="16"/>
  <c r="E2272" i="16"/>
  <c r="E2273" i="16"/>
  <c r="E2274" i="16"/>
  <c r="E2275" i="16"/>
  <c r="E2276" i="16"/>
  <c r="E2277" i="16"/>
  <c r="E2278" i="16"/>
  <c r="E2279" i="16"/>
  <c r="E2280" i="16"/>
  <c r="E2281" i="16"/>
  <c r="E2282" i="16"/>
  <c r="E2283" i="16"/>
  <c r="E2284" i="16"/>
  <c r="E2285" i="16"/>
  <c r="E2286" i="16"/>
  <c r="E2287" i="16"/>
  <c r="E2288" i="16"/>
  <c r="E2289" i="16"/>
  <c r="E2290" i="16"/>
  <c r="E2291" i="16"/>
  <c r="E2292" i="16"/>
  <c r="E2293" i="16"/>
  <c r="E2294" i="16"/>
  <c r="E2295" i="16"/>
  <c r="E2296" i="16"/>
  <c r="E2297" i="16"/>
  <c r="E2298" i="16"/>
  <c r="E2299" i="16"/>
  <c r="E2300" i="16"/>
  <c r="E2301" i="16"/>
  <c r="E2302" i="16"/>
  <c r="E2303" i="16"/>
  <c r="E2304" i="16"/>
  <c r="E2305" i="16"/>
  <c r="E2306" i="16"/>
  <c r="E2307" i="16"/>
  <c r="E2308" i="16"/>
  <c r="E2309" i="16"/>
  <c r="E2310" i="16"/>
  <c r="E2311" i="16"/>
  <c r="E2312" i="16"/>
  <c r="E2313" i="16"/>
  <c r="E2314" i="16"/>
  <c r="E2315" i="16"/>
  <c r="E2316" i="16"/>
  <c r="E2317" i="16"/>
  <c r="E2318" i="16"/>
  <c r="E2319" i="16"/>
  <c r="E2320" i="16"/>
  <c r="E2321" i="16"/>
  <c r="E2322" i="16"/>
  <c r="E2323" i="16"/>
  <c r="E2324" i="16"/>
  <c r="E2325" i="16"/>
  <c r="E2326" i="16"/>
  <c r="E2327" i="16"/>
  <c r="E2328" i="16"/>
  <c r="E2329" i="16"/>
  <c r="E2330" i="16"/>
  <c r="E2331" i="16"/>
  <c r="E2332" i="16"/>
  <c r="E2333" i="16"/>
  <c r="E2334" i="16"/>
  <c r="E2335" i="16"/>
  <c r="E2336" i="16"/>
  <c r="E2337" i="16"/>
  <c r="E2338" i="16"/>
  <c r="E2339" i="16"/>
  <c r="E2340" i="16"/>
  <c r="E2341" i="16"/>
  <c r="E2342" i="16"/>
  <c r="E2343" i="16"/>
  <c r="E2344" i="16"/>
  <c r="E2345" i="16"/>
  <c r="E2346" i="16"/>
  <c r="E2347" i="16"/>
  <c r="E2348" i="16"/>
  <c r="E2349" i="16"/>
  <c r="E2350" i="16"/>
  <c r="E2351" i="16"/>
  <c r="E2352" i="16"/>
  <c r="E2353" i="16"/>
  <c r="E2354" i="16"/>
  <c r="E2355" i="16"/>
  <c r="E2356" i="16"/>
  <c r="E2357" i="16"/>
  <c r="E2358" i="16"/>
  <c r="E2359" i="16"/>
  <c r="E2360" i="16"/>
  <c r="E2361" i="16"/>
  <c r="E2362" i="16"/>
  <c r="E2363" i="16"/>
  <c r="E2364" i="16"/>
  <c r="E2365" i="16"/>
  <c r="E2366" i="16"/>
  <c r="E2367" i="16"/>
  <c r="E2368" i="16"/>
  <c r="E2369" i="16"/>
  <c r="E2370" i="16"/>
  <c r="E2371" i="16"/>
  <c r="E2372" i="16"/>
  <c r="E2373" i="16"/>
  <c r="E2374" i="16"/>
  <c r="E2375" i="16"/>
  <c r="E2376" i="16"/>
  <c r="E2377" i="16"/>
  <c r="E2378" i="16"/>
  <c r="E2379" i="16"/>
  <c r="E2380" i="16"/>
  <c r="E2381" i="16"/>
  <c r="E2382" i="16"/>
  <c r="E2383" i="16"/>
  <c r="E2384" i="16"/>
  <c r="E2385" i="16"/>
  <c r="E2386" i="16"/>
  <c r="E2387" i="16"/>
  <c r="E2388" i="16"/>
  <c r="E2389" i="16"/>
  <c r="E2390" i="16"/>
  <c r="E2391" i="16"/>
  <c r="E2392" i="16"/>
  <c r="E2393" i="16"/>
  <c r="E2394" i="16"/>
  <c r="E2395" i="16"/>
  <c r="E2396" i="16"/>
  <c r="E2397" i="16"/>
  <c r="E2398" i="16"/>
  <c r="E2399" i="16"/>
  <c r="E2400" i="16"/>
  <c r="E2401" i="16"/>
  <c r="E2402" i="16"/>
  <c r="E2403" i="16"/>
  <c r="E2404" i="16"/>
  <c r="E2405" i="16"/>
  <c r="E2406" i="16"/>
  <c r="E2407" i="16"/>
  <c r="E2408" i="16"/>
  <c r="E2409" i="16"/>
  <c r="E2410" i="16"/>
  <c r="E2411" i="16"/>
  <c r="E2412" i="16"/>
  <c r="E2413" i="16"/>
  <c r="E2414" i="16"/>
  <c r="E2415" i="16"/>
  <c r="E2416" i="16"/>
  <c r="E2417" i="16"/>
  <c r="E2418" i="16"/>
  <c r="E2419" i="16"/>
  <c r="E2420" i="16"/>
  <c r="E2421" i="16"/>
  <c r="E2422" i="16"/>
  <c r="E2423" i="16"/>
  <c r="E2424" i="16"/>
  <c r="E2425" i="16"/>
  <c r="E2426" i="16"/>
  <c r="E2427" i="16"/>
  <c r="E2428" i="16"/>
  <c r="E2429" i="16"/>
  <c r="E2430" i="16"/>
  <c r="E2431" i="16"/>
  <c r="E2432" i="16"/>
  <c r="E2433" i="16"/>
  <c r="E2434" i="16"/>
  <c r="E2435" i="16"/>
  <c r="E2436" i="16"/>
  <c r="E2437" i="16"/>
  <c r="E2438" i="16"/>
  <c r="E2439" i="16"/>
  <c r="E2440" i="16"/>
  <c r="E2441" i="16"/>
  <c r="E2442" i="16"/>
  <c r="E2443" i="16"/>
  <c r="E2444" i="16"/>
  <c r="E2445" i="16"/>
  <c r="E2446" i="16"/>
  <c r="E2447" i="16"/>
  <c r="E2448" i="16"/>
  <c r="E2449" i="16"/>
  <c r="E2450" i="16"/>
  <c r="E2451" i="16"/>
  <c r="E2452" i="16"/>
  <c r="E2453" i="16"/>
  <c r="E2454" i="16"/>
  <c r="E2455" i="16"/>
  <c r="E2456" i="16"/>
  <c r="E2457" i="16"/>
  <c r="E2458" i="16"/>
  <c r="E2459" i="16"/>
  <c r="E2460" i="16"/>
  <c r="E2461" i="16"/>
  <c r="E2462" i="16"/>
  <c r="E2463" i="16"/>
  <c r="E2464" i="16"/>
  <c r="E2465" i="16"/>
  <c r="E2466" i="16"/>
  <c r="E2467" i="16"/>
  <c r="E2468" i="16"/>
  <c r="E2469" i="16"/>
  <c r="E2470" i="16"/>
  <c r="E2471" i="16"/>
  <c r="E2472" i="16"/>
  <c r="E2473" i="16"/>
  <c r="E2474" i="16"/>
  <c r="E2475" i="16"/>
  <c r="E2476" i="16"/>
  <c r="E2477" i="16"/>
  <c r="E2478" i="16"/>
  <c r="E2479" i="16"/>
  <c r="E2480" i="16"/>
  <c r="E2481" i="16"/>
  <c r="E2482" i="16"/>
  <c r="E2483" i="16"/>
  <c r="E2484" i="16"/>
  <c r="E2485" i="16"/>
  <c r="E2486" i="16"/>
  <c r="E2487" i="16"/>
  <c r="E2488" i="16"/>
  <c r="E2489" i="16"/>
  <c r="E2490" i="16"/>
  <c r="E2491" i="16"/>
  <c r="E2492" i="16"/>
  <c r="E2493" i="16"/>
  <c r="E2494" i="16"/>
  <c r="E2495" i="16"/>
  <c r="E2496" i="16"/>
  <c r="E2497" i="16"/>
  <c r="E2498" i="16"/>
  <c r="E2499" i="16"/>
  <c r="E2500" i="16"/>
  <c r="E2501" i="16"/>
  <c r="E2502" i="16"/>
  <c r="E2503" i="16"/>
  <c r="E2504" i="16"/>
  <c r="E2505" i="16"/>
  <c r="E2506" i="16"/>
  <c r="E2507" i="16"/>
  <c r="E2508" i="16"/>
  <c r="E2509" i="16"/>
  <c r="E2510" i="16"/>
  <c r="E2511" i="16"/>
  <c r="E2512" i="16"/>
  <c r="E2513" i="16"/>
  <c r="E2514" i="16"/>
  <c r="E2515" i="16"/>
  <c r="E2516" i="16"/>
  <c r="E2517" i="16"/>
  <c r="E2518" i="16"/>
  <c r="E2519" i="16"/>
  <c r="E2520" i="16"/>
  <c r="E2521" i="16"/>
  <c r="E2522" i="16"/>
  <c r="E2523" i="16"/>
  <c r="E2524" i="16"/>
  <c r="E2525" i="16"/>
  <c r="E2526" i="16"/>
  <c r="E2527" i="16"/>
  <c r="E2528" i="16"/>
  <c r="E2529" i="16"/>
  <c r="E2530" i="16"/>
  <c r="E2531" i="16"/>
  <c r="E2532" i="16"/>
  <c r="E2533" i="16"/>
  <c r="E2534" i="16"/>
  <c r="E2535" i="16"/>
  <c r="E2536" i="16"/>
  <c r="E2537" i="16"/>
  <c r="E2538" i="16"/>
  <c r="E2539" i="16"/>
  <c r="E2540" i="16"/>
  <c r="E2541" i="16"/>
  <c r="E2542" i="16"/>
  <c r="E2543" i="16"/>
  <c r="E2544" i="16"/>
  <c r="E2545" i="16"/>
  <c r="E2546" i="16"/>
  <c r="E2547" i="16"/>
  <c r="E2548" i="16"/>
  <c r="E2549" i="16"/>
  <c r="E2550" i="16"/>
  <c r="E2551" i="16"/>
  <c r="E2552" i="16"/>
  <c r="E2553" i="16"/>
  <c r="E2554" i="16"/>
  <c r="E2555" i="16"/>
  <c r="E2556" i="16"/>
  <c r="E2557" i="16"/>
  <c r="E2558" i="16"/>
  <c r="E2559" i="16"/>
  <c r="E2560" i="16"/>
  <c r="E2561" i="16"/>
  <c r="E2562" i="16"/>
  <c r="E2563" i="16"/>
  <c r="E2564" i="16"/>
  <c r="E2565" i="16"/>
  <c r="E2566" i="16"/>
  <c r="E2567" i="16"/>
  <c r="E2568" i="16"/>
  <c r="E2569" i="16"/>
  <c r="E2570" i="16"/>
  <c r="E2571" i="16"/>
  <c r="E2572" i="16"/>
  <c r="E2573" i="16"/>
  <c r="E2574" i="16"/>
  <c r="E2575" i="16"/>
  <c r="E2576" i="16"/>
  <c r="E2577" i="16"/>
  <c r="E2578" i="16"/>
  <c r="E2579" i="16"/>
  <c r="E2580" i="16"/>
  <c r="E2581" i="16"/>
  <c r="E2582" i="16"/>
  <c r="E2583" i="16"/>
  <c r="E2584" i="16"/>
  <c r="E2585" i="16"/>
  <c r="E2586" i="16"/>
  <c r="E2587" i="16"/>
  <c r="E2588" i="16"/>
  <c r="E2589" i="16"/>
  <c r="E2590" i="16"/>
  <c r="E2591" i="16"/>
  <c r="E2592" i="16"/>
  <c r="E2593" i="16"/>
  <c r="E2594" i="16"/>
  <c r="E2595" i="16"/>
  <c r="E2596" i="16"/>
  <c r="E2597" i="16"/>
  <c r="E2598" i="16"/>
  <c r="E2599" i="16"/>
  <c r="E2600" i="16"/>
  <c r="E2601" i="16"/>
  <c r="E2602" i="16"/>
  <c r="E2603" i="16"/>
  <c r="E2604" i="16"/>
  <c r="E2605" i="16"/>
  <c r="E2606" i="16"/>
  <c r="E2607" i="16"/>
  <c r="E2608" i="16"/>
  <c r="E2609" i="16"/>
  <c r="E2610" i="16"/>
  <c r="E2611" i="16"/>
  <c r="E2612" i="16"/>
  <c r="E2613" i="16"/>
  <c r="E2614" i="16"/>
  <c r="E2615" i="16"/>
  <c r="E2616" i="16"/>
  <c r="E2617" i="16"/>
  <c r="E2618" i="16"/>
  <c r="E2619" i="16"/>
  <c r="E2620" i="16"/>
  <c r="E2621" i="16"/>
  <c r="E2622" i="16"/>
  <c r="E2623" i="16"/>
  <c r="E2624" i="16"/>
  <c r="E2625" i="16"/>
  <c r="E2626" i="16"/>
  <c r="E2627" i="16"/>
  <c r="E2628" i="16"/>
  <c r="E2629" i="16"/>
  <c r="E2630" i="16"/>
  <c r="E2631" i="16"/>
  <c r="E2632" i="16"/>
  <c r="E2633" i="16"/>
  <c r="E2634" i="16"/>
  <c r="E2635" i="16"/>
  <c r="E2636" i="16"/>
  <c r="E2637" i="16"/>
  <c r="E2638" i="16"/>
  <c r="E2639" i="16"/>
  <c r="E2640" i="16"/>
  <c r="E2641" i="16"/>
  <c r="E2642" i="16"/>
  <c r="E2643" i="16"/>
  <c r="E2644" i="16"/>
  <c r="E2645" i="16"/>
  <c r="E2646" i="16"/>
  <c r="E2647" i="16"/>
  <c r="E2648" i="16"/>
  <c r="E2649" i="16"/>
  <c r="E2650" i="16"/>
  <c r="E2651" i="16"/>
  <c r="E2652" i="16"/>
  <c r="E2653" i="16"/>
  <c r="E2654" i="16"/>
  <c r="E2655" i="16"/>
  <c r="E2656" i="16"/>
  <c r="E2657" i="16"/>
  <c r="E2658" i="16"/>
  <c r="E2659" i="16"/>
  <c r="E2660" i="16"/>
  <c r="E2661" i="16"/>
  <c r="E2662" i="16"/>
  <c r="E2663" i="16"/>
  <c r="E2664" i="16"/>
  <c r="E2665" i="16"/>
  <c r="E2666" i="16"/>
  <c r="E2667" i="16"/>
  <c r="E2668" i="16"/>
  <c r="E2669" i="16"/>
  <c r="E2670" i="16"/>
  <c r="E2671" i="16"/>
  <c r="E2672" i="16"/>
  <c r="E2673" i="16"/>
  <c r="E2674" i="16"/>
  <c r="E2675" i="16"/>
  <c r="E2676" i="16"/>
  <c r="E2677" i="16"/>
  <c r="E2678" i="16"/>
  <c r="E2679" i="16"/>
  <c r="E2680" i="16"/>
  <c r="E2681" i="16"/>
  <c r="E2682" i="16"/>
  <c r="E2683" i="16"/>
  <c r="E2684" i="16"/>
  <c r="E2685" i="16"/>
  <c r="E2686" i="16"/>
  <c r="E2687" i="16"/>
  <c r="E2688" i="16"/>
  <c r="E2689" i="16"/>
  <c r="E2690" i="16"/>
  <c r="E2691" i="16"/>
  <c r="E2692" i="16"/>
  <c r="E2693" i="16"/>
  <c r="E2694" i="16"/>
  <c r="E2695" i="16"/>
  <c r="E2696" i="16"/>
  <c r="E2697" i="16"/>
  <c r="E2698" i="16"/>
  <c r="E2699" i="16"/>
  <c r="E2700" i="16"/>
  <c r="E2701" i="16"/>
  <c r="E2702" i="16"/>
  <c r="E2703" i="16"/>
  <c r="E2704" i="16"/>
  <c r="E2705" i="16"/>
  <c r="E2706" i="16"/>
  <c r="E2707" i="16"/>
  <c r="E2708" i="16"/>
  <c r="E2709" i="16"/>
  <c r="E2710" i="16"/>
  <c r="E2711" i="16"/>
  <c r="E2712" i="16"/>
  <c r="E2713" i="16"/>
  <c r="E2714" i="16"/>
  <c r="E2715" i="16"/>
  <c r="E2716" i="16"/>
  <c r="E2717" i="16"/>
  <c r="E2718" i="16"/>
  <c r="E2719" i="16"/>
  <c r="E2720" i="16"/>
  <c r="E2721" i="16"/>
  <c r="E2722" i="16"/>
  <c r="E2723" i="16"/>
  <c r="E2724" i="16"/>
  <c r="E2725" i="16"/>
  <c r="E2726" i="16"/>
  <c r="E2727" i="16"/>
  <c r="E2728" i="16"/>
  <c r="E2729" i="16"/>
  <c r="E2730" i="16"/>
  <c r="E2731" i="16"/>
  <c r="E2732" i="16"/>
  <c r="E2733" i="16"/>
  <c r="E2734" i="16"/>
  <c r="E2735" i="16"/>
  <c r="E2736" i="16"/>
  <c r="E2737" i="16"/>
  <c r="E2738" i="16"/>
  <c r="E2739" i="16"/>
  <c r="E2740" i="16"/>
  <c r="E2741" i="16"/>
  <c r="E2742" i="16"/>
  <c r="E2743" i="16"/>
  <c r="E2744" i="16"/>
  <c r="E2745" i="16"/>
  <c r="E2746" i="16"/>
  <c r="E2747" i="16"/>
  <c r="E2748" i="16"/>
  <c r="E2749" i="16"/>
  <c r="E2750" i="16"/>
  <c r="E2751" i="16"/>
  <c r="E2752" i="16"/>
  <c r="E2753" i="16"/>
  <c r="E2754" i="16"/>
  <c r="E2755" i="16"/>
  <c r="E2756" i="16"/>
  <c r="E2757" i="16"/>
  <c r="E2758" i="16"/>
  <c r="E2759" i="16"/>
  <c r="E2760" i="16"/>
  <c r="E2761" i="16"/>
  <c r="E2762" i="16"/>
  <c r="E2763" i="16"/>
  <c r="E2764" i="16"/>
  <c r="E2765" i="16"/>
  <c r="E2766" i="16"/>
  <c r="E2767" i="16"/>
  <c r="E2768" i="16"/>
  <c r="E2769" i="16"/>
  <c r="E2770" i="16"/>
  <c r="E2771" i="16"/>
  <c r="E2772" i="16"/>
  <c r="E2773" i="16"/>
  <c r="E2774" i="16"/>
  <c r="E2775" i="16"/>
  <c r="E2776" i="16"/>
  <c r="E2777" i="16"/>
  <c r="E2778" i="16"/>
  <c r="E2779" i="16"/>
  <c r="E2780" i="16"/>
  <c r="E2781" i="16"/>
  <c r="E2782" i="16"/>
  <c r="E2783" i="16"/>
  <c r="E2784" i="16"/>
  <c r="E2785" i="16"/>
  <c r="E2786" i="16"/>
  <c r="E2787" i="16"/>
  <c r="E2788" i="16"/>
  <c r="E2789" i="16"/>
  <c r="E2790" i="16"/>
  <c r="E2791" i="16"/>
  <c r="E2792" i="16"/>
  <c r="E2793" i="16"/>
  <c r="E2794" i="16"/>
  <c r="E2795" i="16"/>
  <c r="E2796" i="16"/>
  <c r="E2797" i="16"/>
  <c r="E2798" i="16"/>
  <c r="E2799" i="16"/>
  <c r="E2800" i="16"/>
  <c r="E2801" i="16"/>
  <c r="E2802" i="16"/>
  <c r="E2803" i="16"/>
  <c r="E2804" i="16"/>
  <c r="E2805" i="16"/>
  <c r="E2806" i="16"/>
  <c r="E2807" i="16"/>
  <c r="E2808" i="16"/>
  <c r="E2809" i="16"/>
  <c r="E2810" i="16"/>
  <c r="E2811" i="16"/>
  <c r="E2812" i="16"/>
  <c r="E2813" i="16"/>
  <c r="E2814" i="16"/>
  <c r="E2815" i="16"/>
  <c r="E2816" i="16"/>
  <c r="E2817" i="16"/>
  <c r="E2818" i="16"/>
  <c r="E2819" i="16"/>
  <c r="E2820" i="16"/>
  <c r="E2821" i="16"/>
  <c r="E2822" i="16"/>
  <c r="E2823" i="16"/>
  <c r="E2824" i="16"/>
  <c r="E2825" i="16"/>
  <c r="E2826" i="16"/>
  <c r="E2827" i="16"/>
  <c r="E2828" i="16"/>
  <c r="E2829" i="16"/>
  <c r="E2830" i="16"/>
  <c r="E2831" i="16"/>
  <c r="E2832" i="16"/>
  <c r="E2833" i="16"/>
  <c r="E2834" i="16"/>
  <c r="E2835" i="16"/>
  <c r="E2836" i="16"/>
  <c r="E2837" i="16"/>
  <c r="E2838" i="16"/>
  <c r="E2839" i="16"/>
  <c r="E2840" i="16"/>
  <c r="E2841" i="16"/>
  <c r="E2842" i="16"/>
  <c r="E2843" i="16"/>
  <c r="E2844" i="16"/>
  <c r="E2845" i="16"/>
  <c r="E2846" i="16"/>
  <c r="E2847" i="16"/>
  <c r="E2848" i="16"/>
  <c r="E2849" i="16"/>
  <c r="E2850" i="16"/>
  <c r="E2851" i="16"/>
  <c r="E2852" i="16"/>
  <c r="E2853" i="16"/>
  <c r="E2854" i="16"/>
  <c r="E2855" i="16"/>
  <c r="E2856" i="16"/>
  <c r="E2857" i="16"/>
  <c r="E2858" i="16"/>
  <c r="E2859" i="16"/>
  <c r="E2860" i="16"/>
  <c r="E2861" i="16"/>
  <c r="E2862" i="16"/>
  <c r="E2863" i="16"/>
  <c r="E2864" i="16"/>
  <c r="E2865" i="16"/>
  <c r="E2866" i="16"/>
  <c r="E2867" i="16"/>
  <c r="E2868" i="16"/>
  <c r="E2869" i="16"/>
  <c r="E2870" i="16"/>
  <c r="E2871" i="16"/>
  <c r="E2872" i="16"/>
  <c r="E2873" i="16"/>
  <c r="E2874" i="16"/>
  <c r="E2875" i="16"/>
  <c r="E2876" i="16"/>
  <c r="E2877" i="16"/>
  <c r="E2878" i="16"/>
  <c r="E2879" i="16"/>
  <c r="E2880" i="16"/>
  <c r="E2881" i="16"/>
  <c r="E2882" i="16"/>
  <c r="E2883" i="16"/>
  <c r="E2884" i="16"/>
  <c r="E2885" i="16"/>
  <c r="E2886" i="16"/>
  <c r="E2887" i="16"/>
  <c r="E2888" i="16"/>
  <c r="E2889" i="16"/>
  <c r="E2890" i="16"/>
  <c r="E2891" i="16"/>
  <c r="E2892" i="16"/>
  <c r="E2893" i="16"/>
  <c r="E2894" i="16"/>
  <c r="E2895" i="16"/>
  <c r="E2896" i="16"/>
  <c r="E2897" i="16"/>
  <c r="E2898" i="16"/>
  <c r="E2899" i="16"/>
  <c r="E2900" i="16"/>
  <c r="E2901" i="16"/>
  <c r="E2902" i="16"/>
  <c r="E2903" i="16"/>
  <c r="E2904" i="16"/>
  <c r="E2905" i="16"/>
  <c r="E2906" i="16"/>
  <c r="E2907" i="16"/>
  <c r="E2908" i="16"/>
  <c r="E2909" i="16"/>
  <c r="E2910" i="16"/>
  <c r="E2911" i="16"/>
  <c r="E2912" i="16"/>
  <c r="E2913" i="16"/>
  <c r="E2914" i="16"/>
  <c r="E2915" i="16"/>
  <c r="E2916" i="16"/>
  <c r="E2917" i="16"/>
  <c r="E2918" i="16"/>
  <c r="E2919" i="16"/>
  <c r="E2920" i="16"/>
  <c r="E2921" i="16"/>
  <c r="E2922" i="16"/>
  <c r="E2923" i="16"/>
  <c r="E2924" i="16"/>
  <c r="E2925" i="16"/>
  <c r="E2926" i="16"/>
  <c r="E2927" i="16"/>
  <c r="E2928" i="16"/>
  <c r="E2929" i="16"/>
  <c r="E2930" i="16"/>
  <c r="E2931" i="16"/>
  <c r="E2932" i="16"/>
  <c r="E2933" i="16"/>
  <c r="E2934" i="16"/>
  <c r="E2935" i="16"/>
  <c r="E2936" i="16"/>
  <c r="E2937" i="16"/>
  <c r="E2938" i="16"/>
  <c r="E2939" i="16"/>
  <c r="E2940" i="16"/>
  <c r="E2941" i="16"/>
  <c r="E2942" i="16"/>
  <c r="E2943" i="16"/>
  <c r="E2944" i="16"/>
  <c r="E2945" i="16"/>
  <c r="E2946" i="16"/>
  <c r="E2947" i="16"/>
  <c r="E2948" i="16"/>
  <c r="E2949" i="16"/>
  <c r="E2950" i="16"/>
  <c r="E2951" i="16"/>
  <c r="E2952" i="16"/>
  <c r="E2953" i="16"/>
  <c r="E2954" i="16"/>
  <c r="E2955" i="16"/>
  <c r="E2956" i="16"/>
  <c r="E2957" i="16"/>
  <c r="E2958" i="16"/>
  <c r="E2959" i="16"/>
  <c r="E2960" i="16"/>
  <c r="E2961" i="16"/>
  <c r="E2962" i="16"/>
  <c r="E2963" i="16"/>
  <c r="E2964" i="16"/>
  <c r="E2965" i="16"/>
  <c r="E2966" i="16"/>
  <c r="E2967" i="16"/>
  <c r="E2968" i="16"/>
  <c r="E2969" i="16"/>
  <c r="E2970" i="16"/>
  <c r="E2971" i="16"/>
  <c r="E2972" i="16"/>
  <c r="E2973" i="16"/>
  <c r="E2974" i="16"/>
  <c r="E2975" i="16"/>
  <c r="E2976" i="16"/>
  <c r="E2977" i="16"/>
  <c r="E2978" i="16"/>
  <c r="E2979" i="16"/>
  <c r="E2980" i="16"/>
  <c r="E2981" i="16"/>
  <c r="E2982" i="16"/>
  <c r="E2983" i="16"/>
  <c r="E2984" i="16"/>
  <c r="E2985" i="16"/>
  <c r="E2986" i="16"/>
  <c r="E2987" i="16"/>
  <c r="E2988" i="16"/>
  <c r="E2989" i="16"/>
  <c r="E2990" i="16"/>
  <c r="E2991" i="16"/>
  <c r="E2992" i="16"/>
  <c r="E2993" i="16"/>
  <c r="E2994" i="16"/>
  <c r="E2995" i="16"/>
  <c r="E2996" i="16"/>
  <c r="E2997" i="16"/>
  <c r="E2998" i="16"/>
  <c r="E2999" i="16"/>
  <c r="E3000" i="16"/>
  <c r="E3001" i="16"/>
  <c r="E3002" i="16"/>
  <c r="E3003" i="16"/>
  <c r="E3004" i="16"/>
  <c r="E3005" i="16"/>
  <c r="E3006" i="16"/>
  <c r="E3007" i="16"/>
  <c r="E3008" i="16"/>
  <c r="E3009" i="16"/>
  <c r="E3010" i="16"/>
  <c r="E3011" i="16"/>
  <c r="E3012" i="16"/>
  <c r="E3013" i="16"/>
  <c r="E3014" i="16"/>
  <c r="E3015" i="16"/>
  <c r="E3016" i="16"/>
  <c r="E3017" i="16"/>
  <c r="E3018" i="16"/>
  <c r="E3019" i="16"/>
  <c r="E3020" i="16"/>
  <c r="E3021" i="16"/>
  <c r="E3022" i="16"/>
  <c r="E3023" i="16"/>
  <c r="E3024" i="16"/>
  <c r="E3025" i="16"/>
  <c r="E3026" i="16"/>
  <c r="E3027" i="16"/>
  <c r="E3028" i="16"/>
  <c r="E3029" i="16"/>
  <c r="E3030" i="16"/>
  <c r="E3031" i="16"/>
  <c r="E3032" i="16"/>
  <c r="E3033" i="16"/>
  <c r="E3034" i="16"/>
  <c r="E3035" i="16"/>
  <c r="E3036" i="16"/>
  <c r="E3037" i="16"/>
  <c r="E3038" i="16"/>
  <c r="E3039" i="16"/>
  <c r="E3040" i="16"/>
  <c r="E3041" i="16"/>
  <c r="E3042" i="16"/>
  <c r="E3043" i="16"/>
  <c r="E3044" i="16"/>
  <c r="E3045" i="16"/>
  <c r="E3046" i="16"/>
  <c r="E3047" i="16"/>
  <c r="E3048" i="16"/>
  <c r="E3049" i="16"/>
  <c r="E3050" i="16"/>
  <c r="E3051" i="16"/>
  <c r="E3052" i="16"/>
  <c r="E3053" i="16"/>
  <c r="E3054" i="16"/>
  <c r="E3055" i="16"/>
  <c r="E3056" i="16"/>
  <c r="E3057" i="16"/>
  <c r="E3058" i="16"/>
  <c r="E3059" i="16"/>
  <c r="E3060" i="16"/>
  <c r="E3061" i="16"/>
  <c r="E3062" i="16"/>
  <c r="E3063" i="16"/>
  <c r="E3064" i="16"/>
  <c r="E3065" i="16"/>
  <c r="E3066" i="16"/>
  <c r="E3067" i="16"/>
  <c r="E3068" i="16"/>
  <c r="E3069" i="16"/>
  <c r="E3070" i="16"/>
  <c r="E3071" i="16"/>
  <c r="E3072" i="16"/>
  <c r="E3073" i="16"/>
  <c r="E3074" i="16"/>
  <c r="E3075" i="16"/>
  <c r="E3076" i="16"/>
  <c r="E3077" i="16"/>
  <c r="E3078" i="16"/>
  <c r="E3079" i="16"/>
  <c r="E3080" i="16"/>
  <c r="E3081" i="16"/>
  <c r="E3082" i="16"/>
  <c r="E3083" i="16"/>
  <c r="E3084" i="16"/>
  <c r="E3085" i="16"/>
  <c r="E3086" i="16"/>
  <c r="E3087" i="16"/>
  <c r="E3088" i="16"/>
  <c r="E3089" i="16"/>
  <c r="E3090" i="16"/>
  <c r="E3091" i="16"/>
  <c r="E3092" i="16"/>
  <c r="E3093" i="16"/>
  <c r="E3094" i="16"/>
  <c r="E3095" i="16"/>
  <c r="E3096" i="16"/>
  <c r="E3097" i="16"/>
  <c r="E3098" i="16"/>
  <c r="E3099" i="16"/>
  <c r="E3100" i="16"/>
  <c r="E3101" i="16"/>
  <c r="E3102" i="16"/>
  <c r="E3103" i="16"/>
  <c r="E3104" i="16"/>
  <c r="E3105" i="16"/>
  <c r="E3106" i="16"/>
  <c r="E3107" i="16"/>
  <c r="E3108" i="16"/>
  <c r="E3109" i="16"/>
  <c r="E3110" i="16"/>
  <c r="E3111" i="16"/>
  <c r="E3112" i="16"/>
  <c r="E3113" i="16"/>
  <c r="E3114" i="16"/>
  <c r="E3115" i="16"/>
  <c r="E3116" i="16"/>
  <c r="E3117" i="16"/>
  <c r="E3118" i="16"/>
  <c r="E3119" i="16"/>
  <c r="E3120" i="16"/>
  <c r="E3121" i="16"/>
  <c r="E3122" i="16"/>
  <c r="E3123" i="16"/>
  <c r="E3124" i="16"/>
  <c r="E3125" i="16"/>
  <c r="E3126" i="16"/>
  <c r="E3127" i="16"/>
  <c r="E3128" i="16"/>
  <c r="E3129" i="16"/>
  <c r="E3130" i="16"/>
  <c r="E3131" i="16"/>
  <c r="E3132" i="16"/>
  <c r="E3133" i="16"/>
  <c r="E3134" i="16"/>
  <c r="E3135" i="16"/>
  <c r="E3136" i="16"/>
  <c r="E3137" i="16"/>
  <c r="E3138" i="16"/>
  <c r="E3139" i="16"/>
  <c r="E3140" i="16"/>
  <c r="E3141" i="16"/>
  <c r="E3142" i="16"/>
  <c r="E3143" i="16"/>
  <c r="E3144" i="16"/>
  <c r="E3145" i="16"/>
  <c r="E3146" i="16"/>
  <c r="E3147" i="16"/>
  <c r="E3148" i="16"/>
  <c r="E3149" i="16"/>
  <c r="E3150" i="16"/>
  <c r="E3151" i="16"/>
  <c r="E3152" i="16"/>
  <c r="E3153" i="16"/>
  <c r="E3154" i="16"/>
  <c r="E3155" i="16"/>
  <c r="E3156" i="16"/>
  <c r="E3157" i="16"/>
  <c r="E3158" i="16"/>
  <c r="E3159" i="16"/>
  <c r="E3160" i="16"/>
  <c r="E3161" i="16"/>
  <c r="E3162" i="16"/>
  <c r="E3163" i="16"/>
  <c r="E3164" i="16"/>
  <c r="E3165" i="16"/>
  <c r="E3166" i="16"/>
  <c r="E3167" i="16"/>
  <c r="E3168" i="16"/>
  <c r="E3169" i="16"/>
  <c r="E3170" i="16"/>
  <c r="E3171" i="16"/>
  <c r="E3172" i="16"/>
  <c r="E3173" i="16"/>
  <c r="E3174" i="16"/>
  <c r="E3175" i="16"/>
  <c r="E3176" i="16"/>
  <c r="E3177" i="16"/>
  <c r="E3178" i="16"/>
  <c r="E3179" i="16"/>
  <c r="E3180" i="16"/>
  <c r="E3181" i="16"/>
  <c r="E3182" i="16"/>
  <c r="E3183" i="16"/>
  <c r="E3184" i="16"/>
  <c r="E3185" i="16"/>
  <c r="E3186" i="16"/>
  <c r="E3187" i="16"/>
  <c r="E3188" i="16"/>
  <c r="E3189" i="16"/>
  <c r="E3190" i="16"/>
  <c r="E3191" i="16"/>
  <c r="E3192" i="16"/>
  <c r="E3193" i="16"/>
  <c r="E3194" i="16"/>
  <c r="E3195" i="16"/>
  <c r="E3196" i="16"/>
  <c r="E3197" i="16"/>
  <c r="E3198" i="16"/>
  <c r="E3199" i="16"/>
  <c r="E3200" i="16"/>
  <c r="E3201" i="16"/>
  <c r="E3202" i="16"/>
  <c r="E3203" i="16"/>
  <c r="E3204" i="16"/>
  <c r="E3205" i="16"/>
  <c r="E3206" i="16"/>
  <c r="E3207" i="16"/>
  <c r="E3208" i="16"/>
  <c r="E3209" i="16"/>
  <c r="E3210" i="16"/>
  <c r="E3211" i="16"/>
  <c r="E3212" i="16"/>
  <c r="E3213" i="16"/>
  <c r="E3214" i="16"/>
  <c r="E3215" i="16"/>
  <c r="E3216" i="16"/>
  <c r="E3217" i="16"/>
  <c r="E3218" i="16"/>
  <c r="E3219" i="16"/>
  <c r="E3220" i="16"/>
  <c r="E3221" i="16"/>
  <c r="E3222" i="16"/>
  <c r="E3223" i="16"/>
  <c r="E3224" i="16"/>
  <c r="E3225" i="16"/>
  <c r="E3226" i="16"/>
  <c r="E3227" i="16"/>
  <c r="E3228" i="16"/>
  <c r="E3229" i="16"/>
  <c r="E3230" i="16"/>
  <c r="E3231" i="16"/>
  <c r="E3232" i="16"/>
  <c r="E3233" i="16"/>
  <c r="E3234" i="16"/>
  <c r="E3235" i="16"/>
  <c r="E3236" i="16"/>
  <c r="E3237" i="16"/>
  <c r="E3238" i="16"/>
  <c r="E3239" i="16"/>
  <c r="E3240" i="16"/>
  <c r="E3241" i="16"/>
  <c r="E3242" i="16"/>
  <c r="E3243" i="16"/>
  <c r="E3244" i="16"/>
  <c r="E3245" i="16"/>
  <c r="E3246" i="16"/>
  <c r="E3247" i="16"/>
  <c r="E3248" i="16"/>
  <c r="E3249" i="16"/>
  <c r="E3250" i="16"/>
  <c r="E3251" i="16"/>
  <c r="E3252" i="16"/>
  <c r="E3253" i="16"/>
  <c r="E3254" i="16"/>
  <c r="E3255" i="16"/>
  <c r="E3256" i="16"/>
  <c r="E3257" i="16"/>
  <c r="E3258" i="16"/>
  <c r="E3259" i="16"/>
  <c r="E3260" i="16"/>
  <c r="E3261" i="16"/>
  <c r="E3262" i="16"/>
  <c r="E3263" i="16"/>
  <c r="E3264" i="16"/>
  <c r="E3265" i="16"/>
  <c r="E3266" i="16"/>
  <c r="E3267" i="16"/>
  <c r="E3268" i="16"/>
  <c r="E3269" i="16"/>
  <c r="E3270" i="16"/>
  <c r="E3271" i="16"/>
  <c r="E3272" i="16"/>
  <c r="E3273" i="16"/>
  <c r="E3274" i="16"/>
  <c r="E3275" i="16"/>
  <c r="E3276" i="16"/>
  <c r="E3277" i="16"/>
  <c r="E3278" i="16"/>
  <c r="E3279" i="16"/>
  <c r="E3280" i="16"/>
  <c r="E3281" i="16"/>
  <c r="E3282" i="16"/>
  <c r="E3283" i="16"/>
  <c r="E3284" i="16"/>
  <c r="E3285" i="16"/>
  <c r="E3286" i="16"/>
  <c r="E3287" i="16"/>
  <c r="E3288" i="16"/>
  <c r="E3289" i="16"/>
  <c r="E3290" i="16"/>
  <c r="E3291" i="16"/>
  <c r="E3292" i="16"/>
  <c r="E3293" i="16"/>
  <c r="E3294" i="16"/>
  <c r="E3295" i="16"/>
  <c r="E3296" i="16"/>
  <c r="E3297" i="16"/>
  <c r="E3298" i="16"/>
  <c r="E3299" i="16"/>
  <c r="E3300" i="16"/>
  <c r="E3301" i="16"/>
  <c r="E3302" i="16"/>
  <c r="E3303" i="16"/>
  <c r="E3304" i="16"/>
  <c r="E3305" i="16"/>
  <c r="E3306" i="16"/>
  <c r="E3307" i="16"/>
  <c r="E3308" i="16"/>
  <c r="E3309" i="16"/>
  <c r="E3310" i="16"/>
  <c r="E3311" i="16"/>
  <c r="E3312" i="16"/>
  <c r="E3313" i="16"/>
  <c r="E3314" i="16"/>
  <c r="E3315" i="16"/>
  <c r="E3316" i="16"/>
  <c r="E3317" i="16"/>
  <c r="E3318" i="16"/>
  <c r="E3319" i="16"/>
  <c r="E3320" i="16"/>
  <c r="E3321" i="16"/>
  <c r="E3322" i="16"/>
  <c r="E3323" i="16"/>
  <c r="E3324" i="16"/>
  <c r="E3325" i="16"/>
  <c r="E3326" i="16"/>
  <c r="E3327" i="16"/>
  <c r="E3328" i="16"/>
  <c r="E3329" i="16"/>
  <c r="E3330" i="16"/>
  <c r="E3331" i="16"/>
  <c r="E3332" i="16"/>
  <c r="E3333" i="16"/>
  <c r="E3334" i="16"/>
  <c r="E3335" i="16"/>
  <c r="E3336" i="16"/>
  <c r="E3337" i="16"/>
  <c r="E3338" i="16"/>
  <c r="E3339" i="16"/>
  <c r="E3340" i="16"/>
  <c r="E3341" i="16"/>
  <c r="E3342" i="16"/>
  <c r="E3343" i="16"/>
  <c r="E3344" i="16"/>
  <c r="E3345" i="16"/>
  <c r="E3346" i="16"/>
  <c r="E3347" i="16"/>
  <c r="E3348" i="16"/>
  <c r="E3349" i="16"/>
  <c r="E3350" i="16"/>
  <c r="E3351" i="16"/>
  <c r="E3352" i="16"/>
  <c r="E3353" i="16"/>
  <c r="E3354" i="16"/>
  <c r="E3355" i="16"/>
  <c r="E3356" i="16"/>
  <c r="E3357" i="16"/>
  <c r="E3358" i="16"/>
  <c r="E3359" i="16"/>
  <c r="E3360" i="16"/>
  <c r="E3361" i="16"/>
  <c r="E3362" i="16"/>
  <c r="E3363" i="16"/>
  <c r="E3364" i="16"/>
  <c r="E3365" i="16"/>
  <c r="E3366" i="16"/>
  <c r="E3367" i="16"/>
  <c r="E3368" i="16"/>
  <c r="E3369" i="16"/>
  <c r="E3370" i="16"/>
  <c r="E3371" i="16"/>
  <c r="E3372" i="16"/>
  <c r="E3373" i="16"/>
  <c r="E3374" i="16"/>
  <c r="E3375" i="16"/>
  <c r="E3376" i="16"/>
  <c r="E3377" i="16"/>
  <c r="E3378" i="16"/>
  <c r="E3379" i="16"/>
  <c r="E3380" i="16"/>
  <c r="E3381" i="16"/>
  <c r="E3382" i="16"/>
  <c r="E3383" i="16"/>
  <c r="E3384" i="16"/>
  <c r="E3385" i="16"/>
  <c r="E3386" i="16"/>
  <c r="E3387" i="16"/>
  <c r="E3388" i="16"/>
  <c r="E3389" i="16"/>
  <c r="E3390" i="16"/>
  <c r="E3391" i="16"/>
  <c r="E3392" i="16"/>
  <c r="E3393" i="16"/>
  <c r="E3394" i="16"/>
  <c r="E3395" i="16"/>
  <c r="E3396" i="16"/>
  <c r="E3397" i="16"/>
  <c r="E3398" i="16"/>
  <c r="E3399" i="16"/>
  <c r="E3400" i="16"/>
  <c r="E3401" i="16"/>
  <c r="E3402" i="16"/>
  <c r="E3403" i="16"/>
  <c r="E3404" i="16"/>
  <c r="E3405" i="16"/>
  <c r="E3406" i="16"/>
  <c r="E3407" i="16"/>
  <c r="E3408" i="16"/>
  <c r="E3409" i="16"/>
  <c r="E3410" i="16"/>
  <c r="E3411" i="16"/>
  <c r="E3412" i="16"/>
  <c r="E3413" i="16"/>
  <c r="E3414" i="16"/>
  <c r="E3415" i="16"/>
  <c r="E3416" i="16"/>
  <c r="E3417" i="16"/>
  <c r="E3418" i="16"/>
  <c r="E3419" i="16"/>
  <c r="E3420" i="16"/>
  <c r="E3421" i="16"/>
  <c r="E3422" i="16"/>
  <c r="E3423" i="16"/>
  <c r="E3424" i="16"/>
  <c r="E3425" i="16"/>
  <c r="E3426" i="16"/>
  <c r="E3427" i="16"/>
  <c r="E3428" i="16"/>
  <c r="E3429" i="16"/>
  <c r="E3430" i="16"/>
  <c r="E3431" i="16"/>
  <c r="E3432" i="16"/>
  <c r="E3433" i="16"/>
  <c r="E3434" i="16"/>
  <c r="E3435" i="16"/>
  <c r="E3436" i="16"/>
  <c r="E3437" i="16"/>
  <c r="E3438" i="16"/>
  <c r="E3439" i="16"/>
  <c r="E3440" i="16"/>
  <c r="E3441" i="16"/>
  <c r="E3442" i="16"/>
  <c r="E3443" i="16"/>
  <c r="E3444" i="16"/>
  <c r="E3445" i="16"/>
  <c r="E3446" i="16"/>
  <c r="E3447" i="16"/>
  <c r="E3448" i="16"/>
  <c r="E3449" i="16"/>
  <c r="E3450" i="16"/>
  <c r="E3451" i="16"/>
  <c r="E3452" i="16"/>
  <c r="E3453" i="16"/>
  <c r="E3454" i="16"/>
  <c r="E3455" i="16"/>
  <c r="E3456" i="16"/>
  <c r="E3457" i="16"/>
  <c r="E3458" i="16"/>
  <c r="E3459" i="16"/>
  <c r="E3460" i="16"/>
  <c r="E3461" i="16"/>
  <c r="E3462" i="16"/>
  <c r="E3463" i="16"/>
  <c r="E3464" i="16"/>
  <c r="E3465" i="16"/>
  <c r="E3466" i="16"/>
  <c r="E3467" i="16"/>
  <c r="E3468" i="16"/>
  <c r="E3469" i="16"/>
  <c r="E3470" i="16"/>
  <c r="E3471" i="16"/>
  <c r="E3472" i="16"/>
  <c r="E3473" i="16"/>
  <c r="E3474" i="16"/>
  <c r="E3475" i="16"/>
  <c r="E3476" i="16"/>
  <c r="E3477" i="16"/>
  <c r="E3478" i="16"/>
  <c r="E3479" i="16"/>
  <c r="E3480" i="16"/>
  <c r="E3481" i="16"/>
  <c r="E3482" i="16"/>
  <c r="E3483" i="16"/>
  <c r="E3484" i="16"/>
  <c r="E3485" i="16"/>
  <c r="E3486" i="16"/>
  <c r="E3487" i="16"/>
  <c r="E3488" i="16"/>
  <c r="E3489" i="16"/>
  <c r="E3490" i="16"/>
  <c r="E3491" i="16"/>
  <c r="E3492" i="16"/>
  <c r="E3493" i="16"/>
  <c r="E3494" i="16"/>
  <c r="E3495" i="16"/>
  <c r="E3496" i="16"/>
  <c r="E3497" i="16"/>
  <c r="E3498" i="16"/>
  <c r="E3499" i="16"/>
  <c r="E3500" i="16"/>
  <c r="E3501" i="16"/>
  <c r="E3502" i="16"/>
  <c r="E3503" i="16"/>
  <c r="E3504" i="16"/>
  <c r="E3505" i="16"/>
  <c r="E3506" i="16"/>
  <c r="E3507" i="16"/>
  <c r="E3508" i="16"/>
  <c r="E3509" i="16"/>
  <c r="E3510" i="16"/>
  <c r="E3511" i="16"/>
  <c r="E3512" i="16"/>
  <c r="E3513" i="16"/>
  <c r="E3514" i="16"/>
  <c r="E3515" i="16"/>
  <c r="E3516" i="16"/>
  <c r="E3517" i="16"/>
  <c r="E3518" i="16"/>
  <c r="E3519" i="16"/>
  <c r="E3520" i="16"/>
  <c r="E3521" i="16"/>
  <c r="E3522" i="16"/>
  <c r="E3523" i="16"/>
  <c r="E3524" i="16"/>
  <c r="E3525" i="16"/>
  <c r="E3526" i="16"/>
  <c r="E3527" i="16"/>
  <c r="E3528" i="16"/>
  <c r="E3529" i="16"/>
  <c r="E3530" i="16"/>
  <c r="E3531" i="16"/>
  <c r="E3532" i="16"/>
  <c r="E3533" i="16"/>
  <c r="E3534" i="16"/>
  <c r="E3535" i="16"/>
  <c r="E3536" i="16"/>
  <c r="E3537" i="16"/>
  <c r="E3538" i="16"/>
  <c r="E3539" i="16"/>
  <c r="E3540" i="16"/>
  <c r="E3541" i="16"/>
  <c r="E3542" i="16"/>
  <c r="E3543" i="16"/>
  <c r="E3544" i="16"/>
  <c r="E3545" i="16"/>
  <c r="E3546" i="16"/>
  <c r="E3547" i="16"/>
  <c r="E3548" i="16"/>
  <c r="E3549" i="16"/>
  <c r="E3550" i="16"/>
  <c r="E3551" i="16"/>
  <c r="E3552" i="16"/>
  <c r="E3553" i="16"/>
  <c r="E3554" i="16"/>
  <c r="E3555" i="16"/>
  <c r="E3556" i="16"/>
  <c r="E3557" i="16"/>
  <c r="E3558" i="16"/>
  <c r="E3559" i="16"/>
  <c r="E3560" i="16"/>
  <c r="E3561" i="16"/>
  <c r="E3562" i="16"/>
  <c r="E3563" i="16"/>
  <c r="E3564" i="16"/>
  <c r="E3565" i="16"/>
  <c r="E3566" i="16"/>
  <c r="E3567" i="16"/>
  <c r="E3568" i="16"/>
  <c r="E3569" i="16"/>
  <c r="E3570" i="16"/>
  <c r="E3571" i="16"/>
  <c r="E3572" i="16"/>
  <c r="E3573" i="16"/>
  <c r="E3574" i="16"/>
  <c r="E3575" i="16"/>
  <c r="E3576" i="16"/>
  <c r="E3577" i="16"/>
  <c r="E3578" i="16"/>
  <c r="E3579" i="16"/>
  <c r="E3580" i="16"/>
  <c r="E3581" i="16"/>
  <c r="E3582" i="16"/>
  <c r="E3583" i="16"/>
  <c r="E3584" i="16"/>
  <c r="E3585" i="16"/>
  <c r="E3586" i="16"/>
  <c r="E3587" i="16"/>
  <c r="E3588" i="16"/>
  <c r="E3589" i="16"/>
  <c r="E3590" i="16"/>
  <c r="E3591" i="16"/>
  <c r="E3592" i="16"/>
  <c r="E3593" i="16"/>
  <c r="E3594" i="16"/>
  <c r="E3595" i="16"/>
  <c r="E3596" i="16"/>
  <c r="E3597" i="16"/>
  <c r="E3598" i="16"/>
  <c r="E3599" i="16"/>
  <c r="E3600" i="16"/>
  <c r="E3601" i="16"/>
  <c r="E3602" i="16"/>
  <c r="E3603" i="16"/>
  <c r="E3604" i="16"/>
  <c r="E3605" i="16"/>
  <c r="E3606" i="16"/>
  <c r="E3607" i="16"/>
  <c r="E3608" i="16"/>
  <c r="E3609" i="16"/>
  <c r="E3610" i="16"/>
  <c r="E3611" i="16"/>
  <c r="E3612" i="16"/>
  <c r="E3613" i="16"/>
  <c r="E3614" i="16"/>
  <c r="E3615" i="16"/>
  <c r="E3616" i="16"/>
  <c r="E3617" i="16"/>
  <c r="E3618" i="16"/>
  <c r="E3619" i="16"/>
  <c r="E3620" i="16"/>
  <c r="E3621" i="16"/>
  <c r="E3622" i="16"/>
  <c r="E3623" i="16"/>
  <c r="E3624" i="16"/>
  <c r="E3625" i="16"/>
  <c r="E3626" i="16"/>
  <c r="E3627" i="16"/>
  <c r="E3628" i="16"/>
  <c r="E3629" i="16"/>
  <c r="E3630" i="16"/>
  <c r="E3631" i="16"/>
  <c r="E3632" i="16"/>
  <c r="E3633" i="16"/>
  <c r="E3634" i="16"/>
  <c r="E3635" i="16"/>
  <c r="E3636" i="16"/>
  <c r="E3637" i="16"/>
  <c r="E3638" i="16"/>
  <c r="E3639" i="16"/>
  <c r="E3640" i="16"/>
  <c r="E3641" i="16"/>
  <c r="E3642" i="16"/>
  <c r="E3643" i="16"/>
  <c r="E3644" i="16"/>
  <c r="E3645" i="16"/>
  <c r="E3646" i="16"/>
  <c r="E3647" i="16"/>
  <c r="E3648" i="16"/>
  <c r="E3649" i="16"/>
  <c r="E3650" i="16"/>
  <c r="E3651" i="16"/>
  <c r="E3652" i="16"/>
  <c r="E3653" i="16"/>
  <c r="E3654" i="16"/>
  <c r="E3655" i="16"/>
  <c r="E3656" i="16"/>
  <c r="E3657" i="16"/>
  <c r="E3658" i="16"/>
  <c r="E3659" i="16"/>
  <c r="E3660" i="16"/>
  <c r="E3661" i="16"/>
  <c r="E3662" i="16"/>
  <c r="E3663" i="16"/>
  <c r="E3664" i="16"/>
  <c r="E3665" i="16"/>
  <c r="E3666" i="16"/>
  <c r="E3667" i="16"/>
  <c r="E3668" i="16"/>
  <c r="E3669" i="16"/>
  <c r="E3670" i="16"/>
  <c r="E3671" i="16"/>
  <c r="E3672" i="16"/>
  <c r="E3673" i="16"/>
  <c r="E3674" i="16"/>
  <c r="E3675" i="16"/>
  <c r="E3676" i="16"/>
  <c r="E3677" i="16"/>
  <c r="E3678" i="16"/>
  <c r="E3679" i="16"/>
  <c r="E3680" i="16"/>
  <c r="E3681" i="16"/>
  <c r="E3682" i="16"/>
  <c r="E3683" i="16"/>
  <c r="E3684" i="16"/>
  <c r="E3685" i="16"/>
  <c r="E3686" i="16"/>
  <c r="E3687" i="16"/>
  <c r="E3688" i="16"/>
  <c r="E3689" i="16"/>
  <c r="E3690" i="16"/>
  <c r="E3691" i="16"/>
  <c r="E3692" i="16"/>
  <c r="E3693" i="16"/>
  <c r="E3694" i="16"/>
  <c r="E3695" i="16"/>
  <c r="E3696" i="16"/>
  <c r="E3697" i="16"/>
  <c r="E3698" i="16"/>
  <c r="E3699" i="16"/>
  <c r="E3700" i="16"/>
  <c r="E3701" i="16"/>
  <c r="E3702" i="16"/>
  <c r="E3703" i="16"/>
  <c r="E3704" i="16"/>
  <c r="E3705" i="16"/>
  <c r="E3706" i="16"/>
  <c r="E3707" i="16"/>
  <c r="E3708" i="16"/>
  <c r="E3709" i="16"/>
  <c r="E3710" i="16"/>
  <c r="E3711" i="16"/>
  <c r="E3712" i="16"/>
  <c r="E3713" i="16"/>
  <c r="E3714" i="16"/>
  <c r="E3715" i="16"/>
  <c r="E3716" i="16"/>
  <c r="E3717" i="16"/>
  <c r="E3718" i="16"/>
  <c r="E3719" i="16"/>
  <c r="E3720" i="16"/>
  <c r="E3721" i="16"/>
  <c r="E3722" i="16"/>
  <c r="E3723" i="16"/>
  <c r="E3724" i="16"/>
  <c r="E3725" i="16"/>
  <c r="E3726" i="16"/>
  <c r="E3727" i="16"/>
  <c r="E3728" i="16"/>
  <c r="E3729" i="16"/>
  <c r="E3730" i="16"/>
  <c r="E3731" i="16"/>
  <c r="E3732" i="16"/>
  <c r="E3733" i="16"/>
  <c r="E3734" i="16"/>
  <c r="E3735" i="16"/>
  <c r="E3736" i="16"/>
  <c r="E3737" i="16"/>
  <c r="E3738" i="16"/>
  <c r="E3739" i="16"/>
  <c r="E3740" i="16"/>
  <c r="E3741" i="16"/>
  <c r="E3742" i="16"/>
  <c r="E3743" i="16"/>
  <c r="E3744" i="16"/>
  <c r="E3745" i="16"/>
  <c r="E3746" i="16"/>
  <c r="E3747" i="16"/>
  <c r="E3748" i="16"/>
  <c r="E3749" i="16"/>
  <c r="E3750" i="16"/>
  <c r="E3751" i="16"/>
  <c r="E3752" i="16"/>
  <c r="E3753" i="16"/>
  <c r="E3754" i="16"/>
  <c r="E3755" i="16"/>
  <c r="E3756" i="16"/>
  <c r="E3757" i="16"/>
  <c r="E3758" i="16"/>
  <c r="E3759" i="16"/>
  <c r="E3760" i="16"/>
  <c r="E3761" i="16"/>
  <c r="E3762" i="16"/>
  <c r="E3763" i="16"/>
  <c r="E3764" i="16"/>
  <c r="E3765" i="16"/>
  <c r="E3766" i="16"/>
  <c r="E3767" i="16"/>
  <c r="E3768" i="16"/>
  <c r="E3769" i="16"/>
  <c r="E3770" i="16"/>
  <c r="E3771" i="16"/>
  <c r="E3772" i="16"/>
  <c r="E3773" i="16"/>
  <c r="E3774" i="16"/>
  <c r="E3775" i="16"/>
  <c r="E3776" i="16"/>
  <c r="E3777" i="16"/>
  <c r="E3778" i="16"/>
  <c r="E3779" i="16"/>
  <c r="E3780" i="16"/>
  <c r="E3781" i="16"/>
  <c r="E3782" i="16"/>
  <c r="E3783" i="16"/>
  <c r="E3784" i="16"/>
  <c r="E3785" i="16"/>
  <c r="E3786" i="16"/>
  <c r="E3787" i="16"/>
  <c r="E3788" i="16"/>
  <c r="E3789" i="16"/>
  <c r="E3790" i="16"/>
  <c r="E3791" i="16"/>
  <c r="E3792" i="16"/>
  <c r="E3793" i="16"/>
  <c r="E3794" i="16"/>
  <c r="E3795" i="16"/>
  <c r="E3796" i="16"/>
  <c r="E3797" i="16"/>
  <c r="E3798" i="16"/>
  <c r="E3799" i="16"/>
  <c r="E3800" i="16"/>
  <c r="E3801" i="16"/>
  <c r="E3802" i="16"/>
  <c r="E3803" i="16"/>
  <c r="E3804" i="16"/>
  <c r="E3805" i="16"/>
  <c r="E3806" i="16"/>
  <c r="E3807" i="16"/>
  <c r="E3808" i="16"/>
  <c r="E3809" i="16"/>
  <c r="E3810" i="16"/>
  <c r="E3811" i="16"/>
  <c r="E3812" i="16"/>
  <c r="E3813" i="16"/>
  <c r="E3814" i="16"/>
  <c r="E3815" i="16"/>
  <c r="E3816" i="16"/>
  <c r="E3817" i="16"/>
  <c r="E3818" i="16"/>
  <c r="E3819" i="16"/>
  <c r="E3820" i="16"/>
  <c r="E3821" i="16"/>
  <c r="E3822" i="16"/>
  <c r="E3823" i="16"/>
  <c r="E3824" i="16"/>
  <c r="E3825" i="16"/>
  <c r="E3826" i="16"/>
  <c r="E3827" i="16"/>
  <c r="E3828" i="16"/>
  <c r="E3829" i="16"/>
  <c r="E3830" i="16"/>
  <c r="E3831" i="16"/>
  <c r="E3832" i="16"/>
  <c r="E3833" i="16"/>
  <c r="E3834" i="16"/>
  <c r="E3835" i="16"/>
  <c r="E3836" i="16"/>
  <c r="E3837" i="16"/>
  <c r="E3838" i="16"/>
  <c r="E3839" i="16"/>
  <c r="E3840" i="16"/>
  <c r="E3841" i="16"/>
  <c r="E3842" i="16"/>
  <c r="E3843" i="16"/>
  <c r="E3844" i="16"/>
  <c r="E3845" i="16"/>
  <c r="E3846" i="16"/>
  <c r="E3847" i="16"/>
  <c r="E3848" i="16"/>
  <c r="E3849" i="16"/>
  <c r="E3850" i="16"/>
  <c r="E3851" i="16"/>
  <c r="E3852" i="16"/>
  <c r="E3853" i="16"/>
  <c r="E3854" i="16"/>
  <c r="E3855" i="16"/>
  <c r="E3856" i="16"/>
  <c r="E3857" i="16"/>
  <c r="E3858" i="16"/>
  <c r="E3859" i="16"/>
  <c r="E3860" i="16"/>
  <c r="E3861" i="16"/>
  <c r="E3862" i="16"/>
  <c r="E3863" i="16"/>
  <c r="E3864" i="16"/>
  <c r="E3865" i="16"/>
  <c r="E3866" i="16"/>
  <c r="E3867" i="16"/>
  <c r="E3868" i="16"/>
  <c r="E3869" i="16"/>
  <c r="E3870" i="16"/>
  <c r="E3871" i="16"/>
  <c r="E3872" i="16"/>
  <c r="E3873" i="16"/>
  <c r="E3874" i="16"/>
  <c r="E3875" i="16"/>
  <c r="E3876" i="16"/>
  <c r="E3877" i="16"/>
  <c r="E3878" i="16"/>
  <c r="E3879" i="16"/>
  <c r="E3880" i="16"/>
  <c r="E3881" i="16"/>
  <c r="E3882" i="16"/>
  <c r="E3883" i="16"/>
  <c r="E3884" i="16"/>
  <c r="E3885" i="16"/>
  <c r="E3886" i="16"/>
  <c r="E3887" i="16"/>
  <c r="E3888" i="16"/>
  <c r="E3889" i="16"/>
  <c r="E3890" i="16"/>
  <c r="E3891" i="16"/>
  <c r="E3892" i="16"/>
  <c r="E3893" i="16"/>
  <c r="E3894" i="16"/>
  <c r="E3895" i="16"/>
  <c r="E3896" i="16"/>
  <c r="E3897" i="16"/>
  <c r="E3898" i="16"/>
  <c r="E3899" i="16"/>
  <c r="E3900" i="16"/>
  <c r="E3901" i="16"/>
  <c r="E3902" i="16"/>
  <c r="E3903" i="16"/>
  <c r="E3904" i="16"/>
  <c r="E3905" i="16"/>
  <c r="E3906" i="16"/>
  <c r="E3907" i="16"/>
  <c r="E3908" i="16"/>
  <c r="E3909" i="16"/>
  <c r="E3910" i="16"/>
  <c r="E3911" i="16"/>
  <c r="E3912" i="16"/>
  <c r="E3913" i="16"/>
  <c r="E3914" i="16"/>
  <c r="E3915" i="16"/>
  <c r="E3916" i="16"/>
  <c r="E3917" i="16"/>
  <c r="E3918" i="16"/>
  <c r="E3919" i="16"/>
  <c r="E3920" i="16"/>
  <c r="E3921" i="16"/>
  <c r="E3922" i="16"/>
  <c r="E3923" i="16"/>
  <c r="E3924" i="16"/>
  <c r="E3925" i="16"/>
  <c r="E3926" i="16"/>
  <c r="E3927" i="16"/>
  <c r="E3928" i="16"/>
  <c r="E3929" i="16"/>
  <c r="E3930" i="16"/>
  <c r="E3931" i="16"/>
  <c r="E3932" i="16"/>
  <c r="E3933" i="16"/>
  <c r="E3934" i="16"/>
  <c r="E3935" i="16"/>
  <c r="E3936" i="16"/>
  <c r="E3937" i="16"/>
  <c r="E3938" i="16"/>
  <c r="E3939" i="16"/>
  <c r="E3940" i="16"/>
  <c r="E3941" i="16"/>
  <c r="E3942" i="16"/>
  <c r="E3943" i="16"/>
  <c r="E3944" i="16"/>
  <c r="E3945" i="16"/>
  <c r="E3946" i="16"/>
  <c r="E3947" i="16"/>
  <c r="E3948" i="16"/>
  <c r="E3949" i="16"/>
  <c r="E3950" i="16"/>
  <c r="E3951" i="16"/>
  <c r="E3952" i="16"/>
  <c r="E3953" i="16"/>
  <c r="E3954" i="16"/>
  <c r="E3955" i="16"/>
  <c r="E3956" i="16"/>
  <c r="E3957" i="16"/>
  <c r="E3958" i="16"/>
  <c r="E3959" i="16"/>
  <c r="E3960" i="16"/>
  <c r="E3961" i="16"/>
  <c r="E3962" i="16"/>
  <c r="E3963" i="16"/>
  <c r="E3964" i="16"/>
  <c r="E3965" i="16"/>
  <c r="E3966" i="16"/>
  <c r="E3967" i="16"/>
  <c r="E3968" i="16"/>
  <c r="E3969" i="16"/>
  <c r="E3970" i="16"/>
  <c r="E3971" i="16"/>
  <c r="E3972" i="16"/>
  <c r="E3973" i="16"/>
  <c r="E3974" i="16"/>
  <c r="E3975" i="16"/>
  <c r="E3976" i="16"/>
  <c r="E3977" i="16"/>
  <c r="E3978" i="16"/>
  <c r="E3979" i="16"/>
  <c r="E3980" i="16"/>
  <c r="E3981" i="16"/>
  <c r="E3982" i="16"/>
  <c r="E3983" i="16"/>
  <c r="E3984" i="16"/>
  <c r="E3985" i="16"/>
  <c r="E3986" i="16"/>
  <c r="E3987" i="16"/>
  <c r="E3988" i="16"/>
  <c r="E3989" i="16"/>
  <c r="E3990" i="16"/>
  <c r="E3991" i="16"/>
  <c r="E3992" i="16"/>
  <c r="E3993" i="16"/>
  <c r="E3994" i="16"/>
  <c r="E3995" i="16"/>
  <c r="E3996" i="16"/>
  <c r="E3997" i="16"/>
  <c r="E3998" i="16"/>
  <c r="E3999" i="16"/>
  <c r="E4000" i="16"/>
  <c r="E4001" i="16"/>
  <c r="E4002" i="16"/>
  <c r="E4003" i="16"/>
  <c r="E4004" i="16"/>
  <c r="E4005" i="16"/>
  <c r="E4006" i="16"/>
  <c r="E4007" i="16"/>
  <c r="E4008" i="16"/>
  <c r="E4009" i="16"/>
  <c r="E4010" i="16"/>
  <c r="E4011" i="16"/>
  <c r="E4012" i="16"/>
  <c r="E4013" i="16"/>
  <c r="E4014" i="16"/>
  <c r="E4015" i="16"/>
  <c r="E4016" i="16"/>
  <c r="E4017" i="16"/>
  <c r="E4018" i="16"/>
  <c r="E4019" i="16"/>
  <c r="E4020" i="16"/>
  <c r="E4021" i="16"/>
  <c r="E4022" i="16"/>
  <c r="E4023" i="16"/>
  <c r="E4024" i="16"/>
  <c r="E4025" i="16"/>
  <c r="E4026" i="16"/>
  <c r="E4027" i="16"/>
  <c r="E4028" i="16"/>
  <c r="E4029" i="16"/>
  <c r="E4030" i="16"/>
  <c r="E4031" i="16"/>
  <c r="E4032" i="16"/>
  <c r="E4033" i="16"/>
  <c r="E4034" i="16"/>
  <c r="E4035" i="16"/>
  <c r="E4036" i="16"/>
  <c r="E4037" i="16"/>
  <c r="E4038" i="16"/>
  <c r="E4039" i="16"/>
  <c r="E4040" i="16"/>
  <c r="E4041" i="16"/>
  <c r="E4042" i="16"/>
  <c r="E4043" i="16"/>
  <c r="E4044" i="16"/>
  <c r="E4045" i="16"/>
  <c r="E4046" i="16"/>
  <c r="E4047" i="16"/>
  <c r="E4048" i="16"/>
  <c r="E4049" i="16"/>
  <c r="E4050" i="16"/>
  <c r="E4051" i="16"/>
  <c r="E4052" i="16"/>
  <c r="E4053" i="16"/>
  <c r="E4054" i="16"/>
  <c r="E4055" i="16"/>
  <c r="E4056" i="16"/>
  <c r="E4057" i="16"/>
  <c r="E4058" i="16"/>
  <c r="E4059" i="16"/>
  <c r="E4060" i="16"/>
  <c r="E4061" i="16"/>
  <c r="E4062" i="16"/>
  <c r="E4063" i="16"/>
  <c r="E4064" i="16"/>
  <c r="E4065" i="16"/>
  <c r="E4066" i="16"/>
  <c r="E4067" i="16"/>
  <c r="E4068" i="16"/>
  <c r="E4069" i="16"/>
  <c r="E4070" i="16"/>
  <c r="E4071" i="16"/>
  <c r="E4072" i="16"/>
  <c r="E4073" i="16"/>
  <c r="E4074" i="16"/>
  <c r="E4075" i="16"/>
  <c r="E4076" i="16"/>
  <c r="E4077" i="16"/>
  <c r="E4078" i="16"/>
  <c r="E4079" i="16"/>
  <c r="E4080" i="16"/>
  <c r="E4081" i="16"/>
  <c r="E4082" i="16"/>
  <c r="E4083" i="16"/>
  <c r="E4084" i="16"/>
  <c r="E4085" i="16"/>
  <c r="E4086" i="16"/>
  <c r="E4087" i="16"/>
  <c r="E4088" i="16"/>
  <c r="E4089" i="16"/>
  <c r="E4090" i="16"/>
  <c r="E4091" i="16"/>
  <c r="E4092" i="16"/>
  <c r="E4093" i="16"/>
  <c r="E4094" i="16"/>
  <c r="E4095" i="16"/>
  <c r="E4096" i="16"/>
  <c r="E4097" i="16"/>
  <c r="E4098" i="16"/>
  <c r="E4099" i="16"/>
  <c r="E4100" i="16"/>
  <c r="E4101" i="16"/>
  <c r="E4102" i="16"/>
  <c r="E4103" i="16"/>
  <c r="E4104" i="16"/>
  <c r="E4105" i="16"/>
  <c r="E4106" i="16"/>
  <c r="E4107" i="16"/>
  <c r="E4108" i="16"/>
  <c r="E4109" i="16"/>
  <c r="E4110" i="16"/>
  <c r="E4111" i="16"/>
  <c r="E4112" i="16"/>
  <c r="E4113" i="16"/>
  <c r="E4114" i="16"/>
  <c r="E4115" i="16"/>
  <c r="E4116" i="16"/>
  <c r="E4117" i="16"/>
  <c r="E4118" i="16"/>
  <c r="E4119" i="16"/>
  <c r="E4120" i="16"/>
  <c r="E4121" i="16"/>
  <c r="E4122" i="16"/>
  <c r="E4123" i="16"/>
  <c r="E4124" i="16"/>
  <c r="E4125" i="16"/>
  <c r="E4126" i="16"/>
  <c r="E4127" i="16"/>
  <c r="E4128" i="16"/>
  <c r="E4129" i="16"/>
  <c r="E4130" i="16"/>
  <c r="E4131" i="16"/>
  <c r="E4132" i="16"/>
  <c r="E4133" i="16"/>
  <c r="E4134" i="16"/>
  <c r="E4135" i="16"/>
  <c r="E4136" i="16"/>
  <c r="E4137" i="16"/>
  <c r="E4138" i="16"/>
  <c r="E4139" i="16"/>
  <c r="E4140" i="16"/>
  <c r="E4141" i="16"/>
  <c r="E4142" i="16"/>
  <c r="E4143" i="16"/>
  <c r="E4144" i="16"/>
  <c r="E4145" i="16"/>
  <c r="E4146" i="16"/>
  <c r="E4147" i="16"/>
  <c r="E4148" i="16"/>
  <c r="E4149" i="16"/>
  <c r="E4150" i="16"/>
  <c r="E4151" i="16"/>
  <c r="E4152" i="16"/>
  <c r="E4153" i="16"/>
  <c r="E4154" i="16"/>
  <c r="E4155" i="16"/>
  <c r="E4156" i="16"/>
  <c r="E4157" i="16"/>
  <c r="E4158" i="16"/>
  <c r="J15" i="17"/>
  <c r="AK26" i="17"/>
  <c r="AK25" i="17"/>
  <c r="AK24" i="17"/>
  <c r="AK23" i="17"/>
  <c r="AK22" i="17"/>
  <c r="AK21" i="17"/>
  <c r="AR10" i="17"/>
  <c r="AR9" i="17"/>
  <c r="AR8" i="17"/>
  <c r="AR7" i="17"/>
  <c r="AR6" i="17"/>
  <c r="AR5" i="17"/>
  <c r="J17" i="17"/>
  <c r="J16" i="17"/>
  <c r="J20" i="17"/>
  <c r="J19" i="17"/>
  <c r="J18" i="17"/>
  <c r="E7" i="18" l="1"/>
  <c r="H7" i="18"/>
  <c r="E5" i="18"/>
  <c r="H5" i="18"/>
  <c r="B5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77CDE9-6AA9-4A2F-8475-626DE319A1F6}" keepAlive="1" name="Query - Append3" description="Connection to the 'Append3' query in the workbook." type="5" refreshedVersion="8" background="1" saveData="1">
    <dbPr connection="Provider=Microsoft.Mashup.OleDb.1;Data Source=$Workbook$;Location=Append3;Extended Properties=&quot;&quot;" command="SELECT * FROM [Append3]"/>
  </connection>
  <connection id="2" xr16:uid="{DEAA966D-A304-49A4-AD76-5D93DDD3A99A}" keepAlive="1" name="Query - Append3 (2)" description="Connection to the 'Append3 (2)' query in the workbook." type="5" refreshedVersion="8" background="1" saveData="1">
    <dbPr connection="Provider=Microsoft.Mashup.OleDb.1;Data Source=$Workbook$;Location=&quot;Append3 (2)&quot;;Extended Properties=&quot;&quot;" command="SELECT * FROM [Append3 (2)]"/>
  </connection>
  <connection id="3" xr16:uid="{50B7C08C-98C6-4FFB-BF69-4C9344F3414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4" xr16:uid="{EEDE199F-365D-4CC0-A7B5-FD95522E1869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5" xr16:uid="{7E5D0275-9E69-4CBC-8045-A8C3EAB1F85B}" keepAlive="1" name="Query - Table11" description="Connection to the 'Table11' query in the workbook." type="5" refreshedVersion="8" background="1" saveData="1">
    <dbPr connection="Provider=Microsoft.Mashup.OleDb.1;Data Source=$Workbook$;Location=Table11;Extended Properties=&quot;&quot;" command="SELECT * FROM [Table11]"/>
  </connection>
  <connection id="6" xr16:uid="{ACA7882A-6BDC-4850-BD6D-104EEA99F36B}" keepAlive="1" name="Query - Table11 (2)" description="Connection to the 'Table11 (2)' query in the workbook." type="5" refreshedVersion="0" background="1">
    <dbPr connection="Provider=Microsoft.Mashup.OleDb.1;Data Source=$Workbook$;Location=&quot;Table11 (2)&quot;;Extended Properties=&quot;&quot;" command="SELECT * FROM [Table11 (2)]"/>
  </connection>
  <connection id="7" xr16:uid="{18965829-874B-4685-927A-E6E8CDC74701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8" xr16:uid="{D204432F-9957-4278-87B4-38796E18BFF6}" keepAlive="1" name="Query - Table3 (2)" description="Connection to the 'Table3 (2)' query in the workbook." type="5" refreshedVersion="0" background="1">
    <dbPr connection="Provider=Microsoft.Mashup.OleDb.1;Data Source=$Workbook$;Location=&quot;Table3 (2)&quot;;Extended Properties=&quot;&quot;" command="SELECT * FROM [Table3 (2)]"/>
  </connection>
  <connection id="9" xr16:uid="{CEB3CEAB-A6D5-4429-9CFA-2500B0959B93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10" xr16:uid="{B0F9B41B-FBE4-4C82-827B-25E4C3E70419}" keepAlive="1" name="Query - Table5 (2)" description="Connection to the 'Table5 (2)' query in the workbook." type="5" refreshedVersion="0" background="1">
    <dbPr connection="Provider=Microsoft.Mashup.OleDb.1;Data Source=$Workbook$;Location=&quot;Table5 (2)&quot;;Extended Properties=&quot;&quot;" command="SELECT * FROM [Table5 (2)]"/>
  </connection>
  <connection id="11" xr16:uid="{6CA533F1-2258-4339-AAC2-E3958DC0F64F}" keepAlive="1" name="Query - Table7" description="Connection to the 'Table7' query in the workbook." type="5" refreshedVersion="8" background="1" saveData="1">
    <dbPr connection="Provider=Microsoft.Mashup.OleDb.1;Data Source=$Workbook$;Location=Table7;Extended Properties=&quot;&quot;" command="SELECT * FROM [Table7]"/>
  </connection>
  <connection id="12" xr16:uid="{78E6D61B-1064-4365-83EB-49E0C660DCB5}" keepAlive="1" name="Query - Table7 (2)" description="Connection to the 'Table7 (2)' query in the workbook." type="5" refreshedVersion="0" background="1">
    <dbPr connection="Provider=Microsoft.Mashup.OleDb.1;Data Source=$Workbook$;Location=&quot;Table7 (2)&quot;;Extended Properties=&quot;&quot;" command="SELECT * FROM [Table7 (2)]"/>
  </connection>
  <connection id="13" xr16:uid="{8A57D549-9B85-48C7-B026-38A28A55A738}" keepAlive="1" name="Query - Table9" description="Connection to the 'Table9' query in the workbook." type="5" refreshedVersion="8" background="1" saveData="1">
    <dbPr connection="Provider=Microsoft.Mashup.OleDb.1;Data Source=$Workbook$;Location=Table9;Extended Properties=&quot;&quot;" command="SELECT * FROM [Table9]"/>
  </connection>
  <connection id="14" xr16:uid="{CF09660F-6C0E-43A2-9D08-FE6B96F27BEA}" keepAlive="1" name="Query - Table9 (2)" description="Connection to the 'Table9 (2)' query in the workbook." type="5" refreshedVersion="0" background="1">
    <dbPr connection="Provider=Microsoft.Mashup.OleDb.1;Data Source=$Workbook$;Location=&quot;Table9 (2)&quot;;Extended Properties=&quot;&quot;" command="SELECT * FROM [Table9 (2)]"/>
  </connection>
  <connection id="15" xr16:uid="{1A081181-A480-4D42-A881-79EEE7144A2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6" xr16:uid="{9359A511-D674-4D2A-9B9C-10C500DDB209}" name="WorksheetConnection_Book2!Append321" type="102" refreshedVersion="8" minRefreshableVersion="5">
    <extLst>
      <ext xmlns:x15="http://schemas.microsoft.com/office/spreadsheetml/2010/11/main" uri="{DE250136-89BD-433C-8126-D09CA5730AF9}">
        <x15:connection id="Append321-d1f0a675-04ae-47d9-9505-286cc3f92e2d" autoDelete="1">
          <x15:rangePr sourceName="_xlcn.WorksheetConnection_Book2Append321"/>
        </x15:connection>
      </ext>
    </extLst>
  </connection>
  <connection id="17" xr16:uid="{6A245E00-0121-4A9E-A6E9-7E4158DC1C28}" name="WorksheetConnection_Book2!Append3214" type="102" refreshedVersion="8" minRefreshableVersion="5">
    <extLst>
      <ext xmlns:x15="http://schemas.microsoft.com/office/spreadsheetml/2010/11/main" uri="{DE250136-89BD-433C-8126-D09CA5730AF9}">
        <x15:connection id="Append3214-63f4760e-f542-4727-af5c-a5af14e7dc24" autoDelete="1">
          <x15:rangePr sourceName="_xlcn.WorksheetConnection_Book2Append3214"/>
        </x15:connection>
      </ext>
    </extLst>
  </connection>
  <connection id="18" xr16:uid="{6A245E00-0121-4A9E-A6E9-7E4158DC1C28}" name="WorksheetConnection_Book2!Append32141" type="102" refreshedVersion="8" minRefreshableVersion="5">
    <extLst>
      <ext xmlns:x15="http://schemas.microsoft.com/office/spreadsheetml/2010/11/main" uri="{DE250136-89BD-433C-8126-D09CA5730AF9}">
        <x15:connection id="Append3214-34858878-b6e4-4236-b460-4fecf1c004af" autoDelete="1">
          <x15:rangePr sourceName="_xlcn.WorksheetConnection_Book2Append321411"/>
        </x15:connection>
      </ext>
    </extLst>
  </connection>
  <connection id="19" xr16:uid="{6A245E00-0121-4A9E-A6E9-7E4158DC1C28}" name="WorksheetConnection_Book2!Append32142" type="102" refreshedVersion="8" minRefreshableVersion="5">
    <extLst>
      <ext xmlns:x15="http://schemas.microsoft.com/office/spreadsheetml/2010/11/main" uri="{DE250136-89BD-433C-8126-D09CA5730AF9}">
        <x15:connection id="Append3214-1e74f296-3705-4ec9-81c1-9d35044fbd7f" autoDelete="1">
          <x15:rangePr sourceName="_xlcn.WorksheetConnection_Book2Append32142"/>
        </x15:connection>
      </ext>
    </extLst>
  </connection>
</connections>
</file>

<file path=xl/sharedStrings.xml><?xml version="1.0" encoding="utf-8"?>
<sst xmlns="http://schemas.openxmlformats.org/spreadsheetml/2006/main" count="9635" uniqueCount="245">
  <si>
    <t>Platform A</t>
  </si>
  <si>
    <t xml:space="preserve">SKU </t>
  </si>
  <si>
    <t>01-Jun</t>
  </si>
  <si>
    <t>02-Jun</t>
  </si>
  <si>
    <t>03-Jun</t>
  </si>
  <si>
    <t>04-Jun</t>
  </si>
  <si>
    <t>05-Jun</t>
  </si>
  <si>
    <t>06-Jun</t>
  </si>
  <si>
    <t>07-Jun</t>
  </si>
  <si>
    <t>08-Jun</t>
  </si>
  <si>
    <t>09-Jun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</si>
  <si>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</si>
  <si>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</si>
  <si>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</si>
  <si>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</si>
  <si>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</si>
  <si>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</si>
  <si>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</si>
  <si>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</si>
  <si>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</si>
  <si>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</si>
  <si>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</si>
  <si>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</si>
  <si>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</si>
  <si>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</si>
  <si>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</si>
  <si>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</si>
  <si>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</si>
  <si>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</si>
  <si>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</si>
  <si>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</si>
  <si>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</si>
  <si>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</si>
  <si>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</si>
  <si>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</si>
  <si>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</si>
  <si>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</si>
  <si>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</si>
  <si>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</si>
  <si>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</si>
  <si>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</si>
  <si>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</si>
  <si>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</si>
  <si>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</si>
  <si>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</si>
  <si>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</si>
  <si>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</si>
  <si>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</si>
  <si>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</si>
  <si>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</si>
  <si>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</si>
  <si>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</si>
  <si>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</si>
  <si>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</si>
  <si>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</si>
  <si>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</si>
  <si>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</si>
  <si>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</si>
  <si>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</si>
  <si>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</si>
  <si>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</si>
  <si>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</si>
  <si>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</si>
  <si>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01-Aug</t>
  </si>
  <si>
    <t>02-Aug</t>
  </si>
  <si>
    <t>03-Aug</t>
  </si>
  <si>
    <t>04-Aug</t>
  </si>
  <si>
    <t>05-Aug</t>
  </si>
  <si>
    <t>06-Aug</t>
  </si>
  <si>
    <t>07-Aug</t>
  </si>
  <si>
    <t>08-Aug</t>
  </si>
  <si>
    <t>09-Aug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</si>
  <si>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</si>
  <si>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</si>
  <si>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</si>
  <si>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</si>
  <si>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</si>
  <si>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</si>
  <si>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</si>
  <si>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</si>
  <si>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</si>
  <si>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</si>
  <si>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</si>
  <si>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</si>
  <si>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</si>
  <si>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</si>
  <si>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</si>
  <si>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</si>
  <si>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</si>
  <si>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</si>
  <si>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</si>
  <si>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</si>
  <si>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</si>
  <si>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</si>
  <si>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SKU 1 - a</t>
  </si>
  <si>
    <t>SKU 1 - b</t>
  </si>
  <si>
    <t>SKU 1 - c</t>
  </si>
  <si>
    <t>SKU 1 - d</t>
  </si>
  <si>
    <t>SKU 1 - e</t>
  </si>
  <si>
    <t>SKU 1 - f</t>
  </si>
  <si>
    <t>SKU 1 - h</t>
  </si>
  <si>
    <t>SKU 2 - a</t>
  </si>
  <si>
    <t>SKU 2 - B</t>
  </si>
  <si>
    <t>SKU 2 - C</t>
  </si>
  <si>
    <t>SKU 2 - D</t>
  </si>
  <si>
    <t>SKU 3 - A</t>
  </si>
  <si>
    <t>SKU - 3 B</t>
  </si>
  <si>
    <t>SKU - 3 C</t>
  </si>
  <si>
    <t>SKU 4 - A</t>
  </si>
  <si>
    <t>SKU 4 - B</t>
  </si>
  <si>
    <t>Platform B</t>
  </si>
  <si>
    <t>Platform C</t>
  </si>
  <si>
    <t>Platform D</t>
  </si>
  <si>
    <t>Platform E</t>
  </si>
  <si>
    <t>AMAZON NOW F</t>
  </si>
  <si>
    <t>508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</si>
  <si>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</si>
  <si>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</si>
  <si>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</si>
  <si>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</si>
  <si>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</si>
  <si>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</si>
  <si>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</si>
  <si>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</si>
  <si>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</si>
  <si>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</si>
  <si>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</si>
  <si>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</si>
  <si>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</si>
  <si>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</si>
  <si>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</si>
  <si>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</si>
  <si>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</si>
  <si>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</si>
  <si>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</si>
  <si>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</si>
  <si>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</si>
  <si>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</si>
  <si>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</si>
  <si>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</si>
  <si>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</si>
  <si>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</si>
  <si>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</si>
  <si>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</si>
  <si>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</si>
  <si>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</si>
  <si>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</si>
  <si>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</si>
  <si>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</si>
  <si>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</si>
  <si>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</si>
  <si>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</si>
  <si>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</si>
  <si>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</si>
  <si>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</si>
  <si>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</si>
  <si>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</si>
  <si>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</si>
  <si>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</si>
  <si>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</si>
  <si>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</si>
  <si>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</si>
  <si>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</si>
  <si>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</si>
  <si>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</si>
  <si>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</si>
  <si>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</si>
  <si>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</si>
  <si>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</si>
  <si>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</si>
  <si>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</si>
  <si>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</si>
  <si>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</si>
  <si>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</si>
  <si>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</si>
  <si>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</si>
  <si>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</si>
  <si>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</si>
  <si>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</si>
  <si>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</si>
  <si>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</si>
  <si>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</si>
  <si>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</si>
  <si>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</si>
  <si>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</si>
  <si>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</si>
  <si>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</si>
  <si>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</si>
  <si>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</si>
  <si>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</si>
  <si>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</si>
  <si>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</si>
  <si>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</si>
  <si>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</si>
  <si>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</si>
  <si>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</si>
  <si>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</si>
  <si>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</si>
  <si>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</si>
  <si>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</si>
  <si>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</si>
  <si>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</si>
  <si>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</si>
  <si>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</si>
  <si>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</si>
  <si>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</si>
  <si>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</si>
  <si>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Date</t>
  </si>
  <si>
    <t>Sales</t>
  </si>
  <si>
    <t>Column92</t>
  </si>
  <si>
    <t>Platform</t>
  </si>
  <si>
    <t>Grand Total</t>
  </si>
  <si>
    <t>Aug</t>
  </si>
  <si>
    <t>Jul</t>
  </si>
  <si>
    <t>Jun</t>
  </si>
  <si>
    <t>Row Labels</t>
  </si>
  <si>
    <t>Sum of Sales</t>
  </si>
  <si>
    <t>Column Labels</t>
  </si>
  <si>
    <t>Top SKU</t>
  </si>
  <si>
    <t>Platform vs Date</t>
  </si>
  <si>
    <t>Platform Total</t>
  </si>
  <si>
    <t>Blended Sales Trend</t>
  </si>
  <si>
    <t xml:space="preserve">KPI </t>
  </si>
  <si>
    <t>Value</t>
  </si>
  <si>
    <t>Monthly Sales</t>
  </si>
  <si>
    <t>Weekly Sales</t>
  </si>
  <si>
    <t>Weeknum</t>
  </si>
  <si>
    <t>Blended Sales – DoD</t>
  </si>
  <si>
    <t>Blended Sales – WoW</t>
  </si>
  <si>
    <t>Blended Sales – MoM</t>
  </si>
  <si>
    <t>Growth % – EACH CHANNEL (WoW)</t>
  </si>
  <si>
    <t>Sum of Sales2</t>
  </si>
  <si>
    <t>WoW Growth %</t>
  </si>
  <si>
    <t>Growth % – EACH CHANNEL (MoM)</t>
  </si>
  <si>
    <t>MoM Growth %</t>
  </si>
  <si>
    <t>Growth % blended DoD</t>
  </si>
  <si>
    <t>Growth % blended WoW</t>
  </si>
  <si>
    <t>Growth % blended MoM</t>
  </si>
  <si>
    <t>w</t>
  </si>
  <si>
    <t>💰 Blended Sales (DoD):</t>
  </si>
  <si>
    <t>💰 Blended Sales (WoW):</t>
  </si>
  <si>
    <t>💰 Blended Sales (MoM):</t>
  </si>
  <si>
    <t>📈 Growth % blended (DoD):</t>
  </si>
  <si>
    <t>📈 Growth % blended (WoW):</t>
  </si>
  <si>
    <t>📈 Growth % blended (MoM):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</si>
</sst>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Proxima Nova"/>
    </font>
    <font>
      <b/>
      <u/>
      <sz val="11"/>
      <color theme="1"/>
      <name val="Proxima Nova"/>
    </font>
    <font>
      <b/>
      <sz val="11"/>
      <color theme="1"/>
      <name val="Proxima Nova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Trebuchet MS"/>
      <family val="2"/>
    </font>
    <font>
      <b/>
      <sz val="28"/>
      <color rgb="FF000000"/>
      <name val="Trebuchet MS"/>
      <family val="2"/>
    </font>
    <font>
      <b/>
      <sz val="18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6"/>
      <color rgb="FF000000"/>
      <name val="Trebuchet MS"/>
      <family val="2"/>
    </font>
    <font>
      <b/>
      <sz val="14"/>
      <color theme="1" tint="4.9989318521683403E-2"/>
      <name val="Trebuchet MS"/>
      <family val="2"/>
    </font>
    <font>
      <b/>
      <sz val="14"/>
      <color rgb="FF000000"/>
      <name val="Trebuchet MS"/>
      <family val="2"/>
    </font>
    <font>
      <b/>
      <sz val="16"/>
      <color rgb="FF00B050"/>
      <name val="Trebuchet MS"/>
      <family val="2"/>
    </font>
    <font>
      <b/>
      <sz val="16"/>
      <color rgb="FFC00000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4" fontId="0" fillId="0" borderId="0" xfId="0" applyNumberFormat="1"/>
    <xf numFmtId="0" fontId="1" fillId="0" borderId="0" xfId="1"/>
    <xf numFmtId="0" fontId="5" fillId="0" borderId="0" xfId="1" applyFont="1"/>
    <xf numFmtId="0" fontId="5" fillId="0" borderId="0" xfId="1" applyFont="1" applyAlignment="1">
      <alignment vertical="center"/>
    </xf>
    <xf numFmtId="0" fontId="6" fillId="0" borderId="0" xfId="1" applyFont="1"/>
    <xf numFmtId="10" fontId="1" fillId="0" borderId="0" xfId="1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7" fillId="0" borderId="0" xfId="0" applyFont="1"/>
    <xf numFmtId="0" fontId="5" fillId="0" borderId="0" xfId="0" applyFont="1"/>
    <xf numFmtId="10" fontId="0" fillId="0" borderId="0" xfId="0" applyNumberFormat="1"/>
    <xf numFmtId="0" fontId="10" fillId="0" borderId="0" xfId="0" applyFont="1"/>
    <xf numFmtId="0" fontId="9" fillId="5" borderId="0" xfId="0" applyFont="1" applyFill="1"/>
    <xf numFmtId="0" fontId="0" fillId="5" borderId="0" xfId="0" applyFill="1"/>
    <xf numFmtId="0" fontId="12" fillId="5" borderId="0" xfId="0" applyFont="1" applyFill="1"/>
    <xf numFmtId="0" fontId="13" fillId="5" borderId="0" xfId="0" applyFont="1" applyFill="1"/>
    <xf numFmtId="0" fontId="8" fillId="5" borderId="0" xfId="0" applyFont="1" applyFill="1"/>
    <xf numFmtId="0" fontId="11" fillId="5" borderId="0" xfId="0" applyFont="1" applyFill="1"/>
    <xf numFmtId="0" fontId="14" fillId="6" borderId="1" xfId="0" applyFont="1" applyFill="1" applyBorder="1"/>
    <xf numFmtId="0" fontId="16" fillId="6" borderId="2" xfId="0" applyFont="1" applyFill="1" applyBorder="1"/>
    <xf numFmtId="0" fontId="15" fillId="6" borderId="1" xfId="0" applyFont="1" applyFill="1" applyBorder="1"/>
    <xf numFmtId="10" fontId="16" fillId="6" borderId="2" xfId="0" applyNumberFormat="1" applyFont="1" applyFill="1" applyBorder="1"/>
    <xf numFmtId="10" fontId="17" fillId="6" borderId="2" xfId="0" applyNumberFormat="1" applyFont="1" applyFill="1" applyBorder="1"/>
    <xf numFmtId="0" fontId="9" fillId="6" borderId="0" xfId="0" applyFont="1" applyFill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 xr:uid="{2969A1D7-4E67-4CBC-8D31-0DEC47D077F0}"/>
  </cellStyles>
  <dxfs count="580"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rial"/>
        <family val="2"/>
        <scheme val="minor"/>
      </font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Arial"/>
        <family val="2"/>
        <scheme val="minor"/>
      </font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"/>
        <scheme val="none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8F0FE"/>
      <color rgb="FFF5F6F8"/>
      <color rgb="FFB61A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23" Type="http://customschemas.google.com/relationships/workbookmetadata" Target="metadata"/><Relationship Id="rId28" Type="http://schemas.openxmlformats.org/officeDocument/2006/relationships/powerPivotData" Target="model/item.data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[Varun Chatrath.xlsx]Supporting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r>
              <a:rPr lang="en-US" sz="1800" b="1">
                <a:solidFill>
                  <a:schemeClr val="tx1">
                    <a:lumMod val="95000"/>
                    <a:lumOff val="5000"/>
                  </a:schemeClr>
                </a:solidFill>
                <a:latin typeface="Trebuchet MS" panose="020B0603020202020204" pitchFamily="34" charset="0"/>
              </a:rPr>
              <a:t>Platform Comparison</a:t>
            </a:r>
          </a:p>
        </c:rich>
      </c:tx>
      <c:layout>
        <c:manualLayout>
          <c:xMode val="edge"/>
          <c:yMode val="edge"/>
          <c:x val="0.24750551876379692"/>
          <c:y val="6.40378793759217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6234006208734543E-2"/>
          <c:y val="0.19616937048824029"/>
          <c:w val="0.93462759298522813"/>
          <c:h val="0.542927371988925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'Supporting Analysis'!$J$3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'Supporting Analysis'!$I$4:$I$10</c:f>
              <c:strCache>
                <c:ptCount val="6"/>
                <c:pt idx="0">
                  <c:v>AMAZON NOW F</c:v>
                </c:pt>
                <c:pt idx="1">
                  <c:v>Platform A</c:v>
                </c:pt>
                <c:pt idx="2">
                  <c:v>Platform B</c:v>
                </c:pt>
                <c:pt idx="3">
                  <c:v>Platform C</c:v>
                </c:pt>
                <c:pt idx="4">
                  <c:v>Platform D</c:v>
                </c:pt>
                <c:pt idx="5">
                  <c:v>Platform E</c:v>
                </c:pt>
              </c:strCache>
            </c:strRef>
          </c:cat>
          <c:val>
            <c:numRef>
              <c:f>'Supporting Analysis'!$J$4:$J$10</c:f>
              <c:numCache>
                <c:formatCode>General</c:formatCode>
                <c:ptCount val="6"/>
                <c:pt idx="0">
                  <c:v>64160</c:v>
                </c:pt>
                <c:pt idx="1">
                  <c:v>214244</c:v>
                </c:pt>
                <c:pt idx="2">
                  <c:v>52282</c:v>
                </c:pt>
                <c:pt idx="3">
                  <c:v>79798</c:v>
                </c:pt>
                <c:pt idx="4">
                  <c:v>58072</c:v>
                </c:pt>
                <c:pt idx="5">
                  <c:v>95352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4-47D5-90BC-CC77D3F2E3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8973680"/>
        <c:axId val="378974040"/>
      </c:barChart>
      <c:catAx>
        <c:axId val="37897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378974040"/>
        <c:crosses val="autoZero"/>
        <c:auto val="1"/>
        <c:lblAlgn val="ctr"/>
        <c:lblOffset val="100"/>
        <c:noMultiLvlLbl val="0"/>
      </c:catAx>
      <c:valAx>
        <c:axId val="3789740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897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[Varun Chatrath.xlsx]Supporting Analysis!PivotTable6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>
                    <a:lumMod val="95000"/>
                    <a:lumOff val="5000"/>
                  </a:schemeClr>
                </a:solidFill>
                <a:latin typeface="Trebuchet MS" panose="020B0603020202020204" pitchFamily="34" charset="0"/>
              </a:rPr>
              <a:t>Month Wise Sales</a:t>
            </a:r>
          </a:p>
        </c:rich>
      </c:tx>
      <c:layout>
        <c:manualLayout>
          <c:xMode val="edge"/>
          <c:yMode val="edge"/>
          <c:x val="0.15790621463598642"/>
          <c:y val="2.09973926859633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026847512469062E-2"/>
          <c:y val="0.25091884259726172"/>
          <c:w val="0.92594630497506192"/>
          <c:h val="0.511986700549073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'Supporting Analysis'!$F$3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7DB-4EE8-92A4-BEEBD7343DF8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Trebuchet MS" panose="020B0603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7DB-4EE8-92A4-BEEBD7343D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'Supporting Analysis'!$E$4:$E$7</c:f>
              <c:strCache>
                <c:ptCount val="3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</c:strCache>
            </c:strRef>
          </c:cat>
          <c:val>
            <c:numRef>
              <c:f>'Supporting Analysis'!$F$4:$F$7</c:f>
              <c:numCache>
                <c:formatCode>General</c:formatCode>
                <c:ptCount val="3"/>
                <c:pt idx="0">
                  <c:v>157290</c:v>
                </c:pt>
                <c:pt idx="1">
                  <c:v>245778</c:v>
                </c:pt>
                <c:pt idx="2">
                  <c:v>160840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B-4EE8-92A4-BEEBD7343D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7244631"/>
        <c:axId val="417250391"/>
      </c:barChart>
      <c:catAx>
        <c:axId val="417244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417250391"/>
        <c:crosses val="autoZero"/>
        <c:auto val="1"/>
        <c:lblAlgn val="ctr"/>
        <c:lblOffset val="100"/>
        <c:noMultiLvlLbl val="0"/>
      </c:catAx>
      <c:valAx>
        <c:axId val="4172503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17244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[Varun Chatrath.xlsx]Supporting Analysis!PivotTable5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>
                    <a:lumMod val="95000"/>
                    <a:lumOff val="5000"/>
                  </a:schemeClr>
                </a:solidFill>
                <a:latin typeface="Trebuchet MS" panose="020B0603020202020204" pitchFamily="34" charset="0"/>
              </a:rPr>
              <a:t>Top 10 SKUs</a:t>
            </a:r>
          </a:p>
        </c:rich>
      </c:tx>
      <c:layout>
        <c:manualLayout>
          <c:xMode val="edge"/>
          <c:yMode val="edge"/>
          <c:x val="0.2938646889322320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 w="12700">
            <a:solidFill>
              <a:schemeClr val="accent6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149586162259998E-2"/>
          <c:y val="0.23880144360537406"/>
          <c:w val="0.88087606936673457"/>
          <c:h val="0.567904379677648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'Supporting Analysis'!$X$3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12700">
              <a:solidFill>
                <a:schemeClr val="accent6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'Supporting Analysis'!$W$4:$W$14</c:f>
              <c:strCache>
                <c:ptCount val="10"/>
                <c:pt idx="0">
                  <c:v>SKU - 3 B</c:v>
                </c:pt>
                <c:pt idx="1">
                  <c:v>SKU 1 - a</c:v>
                </c:pt>
                <c:pt idx="2">
                  <c:v>SKU 1 - b</c:v>
                </c:pt>
                <c:pt idx="3">
                  <c:v>SKU 1 - c</c:v>
                </c:pt>
                <c:pt idx="4">
                  <c:v>SKU 1 - f</c:v>
                </c:pt>
                <c:pt idx="5">
                  <c:v>SKU 1 - h</c:v>
                </c:pt>
                <c:pt idx="6">
                  <c:v>SKU 2 - a</c:v>
                </c:pt>
                <c:pt idx="7">
                  <c:v>SKU 2 - B</c:v>
                </c:pt>
                <c:pt idx="8">
                  <c:v>SKU 2 - C</c:v>
                </c:pt>
                <c:pt idx="9">
                  <c:v>SKU 2 - D</c:v>
                </c:pt>
              </c:strCache>
            </c:strRef>
          </c:cat>
          <c:val>
            <c:numRef>
              <c:f>'Supporting Analysis'!$X$4:$X$14</c:f>
              <c:numCache>
                <c:formatCode>General</c:formatCode>
                <c:ptCount val="10"/>
                <c:pt idx="0">
                  <c:v>30662</c:v>
                </c:pt>
                <c:pt idx="1">
                  <c:v>41398</c:v>
                </c:pt>
                <c:pt idx="2">
                  <c:v>72016</c:v>
                </c:pt>
                <c:pt idx="3">
                  <c:v>121320</c:v>
                </c:pt>
                <c:pt idx="4">
                  <c:v>54300</c:v>
                </c:pt>
                <c:pt idx="5">
                  <c:v>48004</c:v>
                </c:pt>
                <c:pt idx="6">
                  <c:v>29085</c:v>
                </c:pt>
                <c:pt idx="7">
                  <c:v>56514</c:v>
                </c:pt>
                <c:pt idx="8">
                  <c:v>24843</c:v>
                </c:pt>
                <c:pt idx="9">
                  <c:v>54684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0-48CC-9035-6C41ACF4F3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17259391"/>
        <c:axId val="417255071"/>
      </c:barChart>
      <c:catAx>
        <c:axId val="4172593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17255071"/>
        <c:crosses val="autoZero"/>
        <c:auto val="1"/>
        <c:lblAlgn val="ctr"/>
        <c:lblOffset val="100"/>
        <c:noMultiLvlLbl val="0"/>
      </c:catAx>
      <c:valAx>
        <c:axId val="41725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41725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25623495265059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376940133037695E-2"/>
          <c:y val="0.20297239915074311"/>
          <c:w val="0.82413161769412968"/>
          <c:h val="0.605237975826270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'Supporting Analysis'!$AR$4</c:f>
              <c:strCache>
                <c:ptCount val="1"/>
                <c:pt idx="0">
                  <c:v>WoW Growth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8A5-4CE2-A570-3EBB832F0C3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8A5-4CE2-A570-3EBB832F0C3E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8A5-4CE2-A570-3EBB832F0C3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8A5-4CE2-A570-3EBB832F0C3E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8A5-4CE2-A570-3EBB832F0C3E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A5-4CE2-A570-3EBB832F0C3E}"/>
              </c:ext>
            </c:extLst>
          </c:dPt>
          <c:dLbls>
            <c:dLbl>
              <c:idx val="3"/>
              <c:layout>
                <c:manualLayout>
                  <c:x val="0"/>
                  <c:y val="0.11461454398671554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A5-4CE2-A570-3EBB832F0C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'Supporting Analysis'!$AQ$5:$AQ$10</c:f>
              <c:strCache>
                <c:ptCount val="6"/>
                <c:pt idx="0">
                  <c:v>Platform A</c:v>
                </c:pt>
                <c:pt idx="1">
                  <c:v>Platform B</c:v>
                </c:pt>
                <c:pt idx="2">
                  <c:v>Platform C</c:v>
                </c:pt>
                <c:pt idx="3">
                  <c:v>Platform D</c:v>
                </c:pt>
                <c:pt idx="4">
                  <c:v>Platform E</c:v>
                </c:pt>
                <c:pt idx="5">
                  <c:v>AMAZON NOW F</c:v>
                </c:pt>
              </c:strCache>
            </c:strRef>
          </c:cat>
          <c:val>
            <c:numRef>
              <c:f>'Supporting Analysis'!$AR$5:$AR$10</c:f>
              <c:numCache>
                <c:formatCode>0.00%</c:formatCode>
                <c:ptCount val="6"/>
                <c:pt idx="0">
                  <c:v>4.4185795883177068E-3</c:v>
                </c:pt>
                <c:pt idx="1">
                  <c:v>4.9180327868852458E-2</c:v>
                </c:pt>
                <c:pt idx="2">
                  <c:v>-5.0347747202902936E-2</c:v>
                </c:pt>
                <c:pt idx="3">
                  <c:v>2.206227667177131</c:v>
                </c:pt>
                <c:pt idx="4">
                  <c:v>-0.72208436724565761</c:v>
                </c:pt>
                <c:pt idx="5">
                  <c:v>2.206227667177131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5-4CE2-A570-3EBB832F0C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5"/>
        <c:axId val="417265511"/>
        <c:axId val="417265871"/>
      </c:barChart>
      <c:catAx>
        <c:axId val="4172655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17265871"/>
        <c:crosses val="autoZero"/>
        <c:auto val="1"/>
        <c:lblAlgn val="ctr"/>
        <c:lblOffset val="100"/>
        <c:noMultiLvlLbl val="0"/>
      </c:catAx>
      <c:valAx>
        <c:axId val="417265871"/>
        <c:scaling>
          <c:orientation val="minMax"/>
          <c:max val="2.5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417265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[Varun Chatrath.xlsx]Supporting Analysis!PivotTable9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8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r>
              <a:rPr lang="en-US" sz="1800" b="1">
                <a:solidFill>
                  <a:schemeClr val="tx1">
                    <a:lumMod val="95000"/>
                    <a:lumOff val="5000"/>
                  </a:schemeClr>
                </a:solidFill>
                <a:latin typeface="Trebuchet MS" panose="020B0603020202020204" pitchFamily="34" charset="0"/>
              </a:rPr>
              <a:t>Sales</a:t>
            </a:r>
            <a:r>
              <a:rPr lang="en-US" sz="1800" b="1" baseline="0">
                <a:solidFill>
                  <a:schemeClr val="tx1">
                    <a:lumMod val="95000"/>
                    <a:lumOff val="5000"/>
                  </a:schemeClr>
                </a:solidFill>
                <a:latin typeface="Trebuchet MS" panose="020B0603020202020204" pitchFamily="34" charset="0"/>
              </a:rPr>
              <a:t> Trend (Weekly)</a:t>
            </a:r>
            <a:endParaRPr lang="en-US" sz="1800" b="1">
              <a:solidFill>
                <a:schemeClr val="tx1">
                  <a:lumMod val="95000"/>
                  <a:lumOff val="5000"/>
                </a:schemeClr>
              </a:solidFill>
              <a:latin typeface="Trebuchet MS" panose="020B0603020202020204" pitchFamily="34" charset="0"/>
            </a:endParaRPr>
          </a:p>
        </c:rich>
      </c:tx>
      <c:layout>
        <c:manualLayout>
          <c:xMode val="edge"/>
          <c:yMode val="edge"/>
          <c:x val="0.19538570532499991"/>
          <c:y val="1.4737288273748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8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58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square"/>
          <c:size val="3"/>
          <c:spPr>
            <a:solidFill>
              <a:schemeClr val="tx1">
                <a:lumMod val="65000"/>
                <a:lumOff val="3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19592212696523"/>
          <c:y val="0.26401265059258899"/>
          <c:w val="0.81248430539274719"/>
          <c:h val="0.42327904664090904"/>
        </c:manualLayout>
      </c:layout>
      <c:lineChart>
        <c:grouping val="standard"/>
        <c:varyColors val="0"/>
        <c:ser>
          <c:idx val="0"/>
          <c:order val="0"/>
          <c:tx>
            <c:strRef>
              <c:f>'Supporting Analysis'!$F$14</c:f>
              <c:strCache>
                <c:ptCount val="1"/>
                <c:pt idx="0">
                  <c:v>Total</c:v>
                </c:pt>
              </c:strCache>
            </c:strRef>
          </c:tx>
          <c:spPr>
            <a:ln w="158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'Supporting Analysis'!$E$15:$E$29</c:f>
              <c:strCache>
                <c:ptCount val="1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</c:strCache>
            </c:strRef>
          </c:cat>
          <c:val>
            <c:numRef>
              <c:f>'Supporting Analysis'!$F$15:$F$29</c:f>
              <c:numCache>
                <c:formatCode>General</c:formatCode>
                <c:ptCount val="14"/>
                <c:pt idx="0">
                  <c:v>6219</c:v>
                </c:pt>
                <c:pt idx="1">
                  <c:v>40151</c:v>
                </c:pt>
                <c:pt idx="2">
                  <c:v>25254</c:v>
                </c:pt>
                <c:pt idx="3">
                  <c:v>46793</c:v>
                </c:pt>
                <c:pt idx="4">
                  <c:v>35711</c:v>
                </c:pt>
                <c:pt idx="5">
                  <c:v>36474</c:v>
                </c:pt>
                <c:pt idx="6">
                  <c:v>61728</c:v>
                </c:pt>
                <c:pt idx="7">
                  <c:v>58125</c:v>
                </c:pt>
                <c:pt idx="8">
                  <c:v>65456</c:v>
                </c:pt>
                <c:pt idx="9">
                  <c:v>46842</c:v>
                </c:pt>
                <c:pt idx="10">
                  <c:v>28252</c:v>
                </c:pt>
                <c:pt idx="11">
                  <c:v>28215</c:v>
                </c:pt>
                <c:pt idx="12">
                  <c:v>40357</c:v>
                </c:pt>
                <c:pt idx="13">
                  <c:v>44331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5F-4110-8F15-3E9CCC8B8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024520"/>
        <c:axId val="1315276464"/>
      </c:lineChart>
      <c:catAx>
        <c:axId val="213002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1315276464"/>
        <c:crosses val="autoZero"/>
        <c:auto val="1"/>
        <c:lblAlgn val="ctr"/>
        <c:lblOffset val="100"/>
        <c:noMultiLvlLbl val="0"/>
      </c:catAx>
      <c:valAx>
        <c:axId val="1315276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2130024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[Varun Chatrath.xlsx]Supporting Analysis!PivotTable15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r>
              <a:rPr lang="en-US" sz="1800" b="1">
                <a:solidFill>
                  <a:schemeClr val="tx1">
                    <a:lumMod val="95000"/>
                    <a:lumOff val="5000"/>
                  </a:schemeClr>
                </a:solidFill>
                <a:latin typeface="Trebuchet MS" panose="020B0603020202020204" pitchFamily="34" charset="0"/>
              </a:rPr>
              <a:t>Platform Trend</a:t>
            </a:r>
          </a:p>
        </c:rich>
      </c:tx>
      <c:layout>
        <c:manualLayout>
          <c:xMode val="edge"/>
          <c:yMode val="edge"/>
          <c:x val="0.36416666666666669"/>
          <c:y val="3.2520325203252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square"/>
          <c:size val="3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"/>
        <c:spPr>
          <a:ln w="127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127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127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127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95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127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06999125109361"/>
          <c:y val="0.21951219512195122"/>
          <c:w val="0.86037445319335082"/>
          <c:h val="0.60178861788617888"/>
        </c:manualLayout>
      </c:layout>
      <c:lineChart>
        <c:grouping val="standard"/>
        <c:varyColors val="0"/>
        <c:ser>
          <c:idx val="0"/>
          <c:order val="0"/>
          <c:tx>
            <c:strRef>
              <c:f>'Supporting Analysis'!$N$101:$N$102</c:f>
              <c:strCache>
                <c:ptCount val="1"/>
                <c:pt idx="0">
                  <c:v>AMAZON NOW F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'Supporting Analysis'!$M$103:$M$117</c:f>
              <c:strCache>
                <c:ptCount val="1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</c:strCache>
            </c:strRef>
          </c:cat>
          <c:val>
            <c:numRef>
              <c:f>'Supporting Analysis'!$N$103:$N$117</c:f>
              <c:numCache>
                <c:formatCode>General</c:formatCode>
                <c:ptCount val="14"/>
                <c:pt idx="3">
                  <c:v>18640</c:v>
                </c:pt>
                <c:pt idx="6">
                  <c:v>18640</c:v>
                </c:pt>
                <c:pt idx="8">
                  <c:v>15498</c:v>
                </c:pt>
                <c:pt idx="9">
                  <c:v>3142</c:v>
                </c:pt>
                <c:pt idx="12">
                  <c:v>1959</c:v>
                </c:pt>
                <c:pt idx="13">
                  <c:v>6281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D9-4E5F-B995-3BE1DE3A0E97}"/>
            </c:ext>
          </c:extLst>
        </c:ser>
        <c:ser>
          <c:idx val="1"/>
          <c:order val="1"/>
          <c:tx>
            <c:strRef>
              <c:f>'Supporting Analysis'!$O$101:$O$102</c:f>
              <c:strCache>
                <c:ptCount val="1"/>
                <c:pt idx="0">
                  <c:v>Platform A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'Supporting Analysis'!$M$103:$M$117</c:f>
              <c:strCache>
                <c:ptCount val="1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</c:strCache>
            </c:strRef>
          </c:cat>
          <c:val>
            <c:numRef>
              <c:f>'Supporting Analysis'!$O$103:$O$117</c:f>
              <c:numCache>
                <c:formatCode>General</c:formatCode>
                <c:ptCount val="14"/>
                <c:pt idx="0">
                  <c:v>2491</c:v>
                </c:pt>
                <c:pt idx="1">
                  <c:v>15700</c:v>
                </c:pt>
                <c:pt idx="2">
                  <c:v>16101</c:v>
                </c:pt>
                <c:pt idx="3">
                  <c:v>14752</c:v>
                </c:pt>
                <c:pt idx="4">
                  <c:v>14458</c:v>
                </c:pt>
                <c:pt idx="5">
                  <c:v>14884</c:v>
                </c:pt>
                <c:pt idx="6">
                  <c:v>14836</c:v>
                </c:pt>
                <c:pt idx="7">
                  <c:v>15938</c:v>
                </c:pt>
                <c:pt idx="8">
                  <c:v>15715</c:v>
                </c:pt>
                <c:pt idx="9">
                  <c:v>16902</c:v>
                </c:pt>
                <c:pt idx="10">
                  <c:v>17769</c:v>
                </c:pt>
                <c:pt idx="11">
                  <c:v>17500</c:v>
                </c:pt>
                <c:pt idx="12">
                  <c:v>18558</c:v>
                </c:pt>
                <c:pt idx="13">
                  <c:v>18640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D9-4E5F-B995-3BE1DE3A0E97}"/>
            </c:ext>
          </c:extLst>
        </c:ser>
        <c:ser>
          <c:idx val="2"/>
          <c:order val="2"/>
          <c:tx>
            <c:strRef>
              <c:f>'Supporting Analysis'!$P$101:$P$102</c:f>
              <c:strCache>
                <c:ptCount val="1"/>
                <c:pt idx="0">
                  <c:v>Platform B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'Supporting Analysis'!$M$103:$M$117</c:f>
              <c:strCache>
                <c:ptCount val="1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</c:strCache>
            </c:strRef>
          </c:cat>
          <c:val>
            <c:numRef>
              <c:f>'Supporting Analysis'!$P$103:$P$117</c:f>
              <c:numCache>
                <c:formatCode>General</c:formatCode>
                <c:ptCount val="14"/>
                <c:pt idx="0">
                  <c:v>399</c:v>
                </c:pt>
                <c:pt idx="1">
                  <c:v>2510</c:v>
                </c:pt>
                <c:pt idx="2">
                  <c:v>2633</c:v>
                </c:pt>
                <c:pt idx="3">
                  <c:v>2646</c:v>
                </c:pt>
                <c:pt idx="4">
                  <c:v>2471</c:v>
                </c:pt>
                <c:pt idx="5">
                  <c:v>4272</c:v>
                </c:pt>
                <c:pt idx="6">
                  <c:v>3825</c:v>
                </c:pt>
                <c:pt idx="7">
                  <c:v>4366</c:v>
                </c:pt>
                <c:pt idx="8">
                  <c:v>5051</c:v>
                </c:pt>
                <c:pt idx="9">
                  <c:v>4619</c:v>
                </c:pt>
                <c:pt idx="10">
                  <c:v>4493</c:v>
                </c:pt>
                <c:pt idx="11">
                  <c:v>5122</c:v>
                </c:pt>
                <c:pt idx="12">
                  <c:v>4819</c:v>
                </c:pt>
                <c:pt idx="13">
                  <c:v>5056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D9-4E5F-B995-3BE1DE3A0E97}"/>
            </c:ext>
          </c:extLst>
        </c:ser>
        <c:ser>
          <c:idx val="3"/>
          <c:order val="3"/>
          <c:tx>
            <c:strRef>
              <c:f>'Supporting Analysis'!$Q$101:$Q$102</c:f>
              <c:strCache>
                <c:ptCount val="1"/>
                <c:pt idx="0">
                  <c:v>Platform C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'Supporting Analysis'!$M$103:$M$117</c:f>
              <c:strCache>
                <c:ptCount val="1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</c:strCache>
            </c:strRef>
          </c:cat>
          <c:val>
            <c:numRef>
              <c:f>'Supporting Analysis'!$Q$103:$Q$117</c:f>
              <c:numCache>
                <c:formatCode>General</c:formatCode>
                <c:ptCount val="14"/>
                <c:pt idx="0">
                  <c:v>888</c:v>
                </c:pt>
                <c:pt idx="1">
                  <c:v>5742</c:v>
                </c:pt>
                <c:pt idx="2">
                  <c:v>6520</c:v>
                </c:pt>
                <c:pt idx="3">
                  <c:v>5835</c:v>
                </c:pt>
                <c:pt idx="4">
                  <c:v>5062</c:v>
                </c:pt>
                <c:pt idx="5">
                  <c:v>6012</c:v>
                </c:pt>
                <c:pt idx="6">
                  <c:v>6321</c:v>
                </c:pt>
                <c:pt idx="7">
                  <c:v>6017</c:v>
                </c:pt>
                <c:pt idx="8">
                  <c:v>6531</c:v>
                </c:pt>
                <c:pt idx="9">
                  <c:v>6392</c:v>
                </c:pt>
                <c:pt idx="10">
                  <c:v>5990</c:v>
                </c:pt>
                <c:pt idx="11">
                  <c:v>5593</c:v>
                </c:pt>
                <c:pt idx="12">
                  <c:v>6614</c:v>
                </c:pt>
                <c:pt idx="13">
                  <c:v>6281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D9-4E5F-B995-3BE1DE3A0E97}"/>
            </c:ext>
          </c:extLst>
        </c:ser>
        <c:ser>
          <c:idx val="4"/>
          <c:order val="4"/>
          <c:tx>
            <c:strRef>
              <c:f>'Supporting Analysis'!$R$101:$R$102</c:f>
              <c:strCache>
                <c:ptCount val="1"/>
                <c:pt idx="0">
                  <c:v>Platform D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'Supporting Analysis'!$M$103:$M$117</c:f>
              <c:strCache>
                <c:ptCount val="1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</c:strCache>
            </c:strRef>
          </c:cat>
          <c:val>
            <c:numRef>
              <c:f>'Supporting Analysis'!$R$103:$R$117</c:f>
              <c:numCache>
                <c:formatCode>General</c:formatCode>
                <c:ptCount val="14"/>
                <c:pt idx="6">
                  <c:v>2143</c:v>
                </c:pt>
                <c:pt idx="7">
                  <c:v>16002</c:v>
                </c:pt>
                <c:pt idx="8">
                  <c:v>15900</c:v>
                </c:pt>
                <c:pt idx="9">
                  <c:v>15787</c:v>
                </c:pt>
                <c:pt idx="12">
                  <c:v>1959</c:v>
                </c:pt>
                <c:pt idx="13">
                  <c:v>6281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D9-4E5F-B995-3BE1DE3A0E97}"/>
            </c:ext>
          </c:extLst>
        </c:ser>
        <c:ser>
          <c:idx val="5"/>
          <c:order val="5"/>
          <c:tx>
            <c:strRef>
              <c:f>'Supporting Analysis'!$S$101:$S$102</c:f>
              <c:strCache>
                <c:ptCount val="1"/>
                <c:pt idx="0">
                  <c:v>Platform E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'Supporting Analysis'!$M$103:$M$117</c:f>
              <c:strCache>
                <c:ptCount val="14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</c:strCache>
            </c:strRef>
          </c:cat>
          <c:val>
            <c:numRef>
              <c:f>'Supporting Analysis'!$S$103:$S$117</c:f>
              <c:numCache>
                <c:formatCode>General</c:formatCode>
                <c:ptCount val="14"/>
                <c:pt idx="0">
                  <c:v>2441</c:v>
                </c:pt>
                <c:pt idx="1">
                  <c:v>16199</c:v>
                </c:pt>
                <c:pt idx="3">
                  <c:v>4920</c:v>
                </c:pt>
                <c:pt idx="4">
                  <c:v>13720</c:v>
                </c:pt>
                <c:pt idx="5">
                  <c:v>11306</c:v>
                </c:pt>
                <c:pt idx="6">
                  <c:v>15963</c:v>
                </c:pt>
                <c:pt idx="7">
                  <c:v>15802</c:v>
                </c:pt>
                <c:pt idx="8">
                  <c:v>6761</c:v>
                </c:pt>
                <c:pt idx="12">
                  <c:v>6448</c:v>
                </c:pt>
                <c:pt idx="13">
                  <c:v>1792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D9-4E5F-B995-3BE1DE3A0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544040"/>
        <c:axId val="2129541520"/>
      </c:lineChart>
      <c:catAx>
        <c:axId val="2129544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541520"/>
        <c:crosses val="autoZero"/>
        <c:auto val="1"/>
        <c:lblAlgn val="ctr"/>
        <c:lblOffset val="100"/>
        <c:noMultiLvlLbl val="0"/>
      </c:catAx>
      <c:valAx>
        <c:axId val="2129541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2129544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15641691038962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67035567373255"/>
          <c:y val="0.2143589743589743"/>
          <c:w val="0.77521436525040976"/>
          <c:h val="0.593725822733696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'Supporting Analysis'!$AK$20</c:f>
              <c:strCache>
                <c:ptCount val="1"/>
                <c:pt idx="0">
                  <c:v>MoM Growth %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E18-48A3-A806-EC0DA20C4013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E18-48A3-A806-EC0DA20C4013}"/>
              </c:ext>
            </c:extLst>
          </c:dPt>
          <c:dLbls>
            <c:dLbl>
              <c:idx val="0"/>
              <c:layout>
                <c:manualLayout>
                  <c:x val="0"/>
                  <c:y val="-6.1538461538461542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E18-48A3-A806-EC0DA20C4013}"/>
                </c:ext>
              </c:extLst>
            </c:dLbl>
            <c:dLbl>
              <c:idx val="1"/>
              <c:layout>
                <c:manualLayout>
                  <c:x val="0"/>
                  <c:y val="-0.13333333333333333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E18-48A3-A806-EC0DA20C4013}"/>
                </c:ext>
              </c:extLst>
            </c:dLbl>
            <c:dLbl>
              <c:idx val="3"/>
              <c:layout>
                <c:manualLayout>
                  <c:x val="-3.7243936936337207E-3"/>
                  <c:y val="0.13333333333333325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18-48A3-A806-EC0DA20C4013}"/>
                </c:ext>
              </c:extLst>
            </c:dLbl>
            <c:dLbl>
              <c:idx val="4"/>
              <c:layout>
                <c:manualLayout>
                  <c:x val="-1.8621968468168604E-2"/>
                  <c:y val="4.1025641025641026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18-48A3-A806-EC0DA20C4013}"/>
                </c:ext>
              </c:extLst>
            </c:dLbl>
            <c:dLbl>
              <c:idx val="5"/>
              <c:layout>
                <c:manualLayout>
                  <c:x val="7.1969824633194748E-2"/>
                  <c:y val="-9.2307692307692313E-2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126622347359244"/>
                      <c:h val="0.2666666666666666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5E18-48A3-A806-EC0DA20C40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'Supporting Analysis'!$AJ$21:$AJ$26</c:f>
              <c:strCache>
                <c:ptCount val="6"/>
                <c:pt idx="0">
                  <c:v>Platform A</c:v>
                </c:pt>
                <c:pt idx="1">
                  <c:v>Platform B</c:v>
                </c:pt>
                <c:pt idx="2">
                  <c:v>Platform C</c:v>
                </c:pt>
                <c:pt idx="3">
                  <c:v>Platform D</c:v>
                </c:pt>
                <c:pt idx="4">
                  <c:v>Platform E</c:v>
                </c:pt>
                <c:pt idx="5">
                  <c:v>AMAZON NOW F</c:v>
                </c:pt>
              </c:strCache>
            </c:strRef>
          </c:cat>
          <c:val>
            <c:numRef>
              <c:f>'Supporting Analysis'!$AK$21:$AK$26</c:f>
              <c:numCache>
                <c:formatCode>0.00%</c:formatCode>
                <c:ptCount val="6"/>
                <c:pt idx="0">
                  <c:v>0.17650588304162032</c:v>
                </c:pt>
                <c:pt idx="1">
                  <c:v>0.10679760626054934</c:v>
                </c:pt>
                <c:pt idx="2">
                  <c:v>-1.3892898383371825E-2</c:v>
                </c:pt>
                <c:pt idx="3">
                  <c:v>-0.65171461075897941</c:v>
                </c:pt>
                <c:pt idx="4">
                  <c:v>-0.83464440520147698</c:v>
                </c:pt>
                <c:pt idx="5">
                  <c:v>-0.77896995708154504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8-48A3-A806-EC0DA20C40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5"/>
        <c:axId val="550053720"/>
        <c:axId val="550055880"/>
      </c:barChart>
      <c:catAx>
        <c:axId val="550053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50055880"/>
        <c:crosses val="autoZero"/>
        <c:auto val="1"/>
        <c:lblAlgn val="ctr"/>
        <c:lblOffset val="100"/>
        <c:noMultiLvlLbl val="0"/>
      </c:catAx>
      <c:valAx>
        <c:axId val="550055880"/>
        <c:scaling>
          <c:orientation val="minMax"/>
          <c:max val="0.5"/>
          <c:min val="-1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550053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702133</xdr:colOff>
      <xdr:row>7</xdr:row>
      <xdr:rowOff>73291</xdr:rowOff>
    </xdr:from>
    <xdr:to>
      <xdr:col>5</xdr:col>
      <xdr:colOff>762000</xdr:colOff>
      <xdr:row>15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652A7C-0E3C-4B19-86A7-9260A7E4D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57151</xdr:rowOff>
    </xdr:from>
    <xdr:to>
      <xdr:col>1</xdr:col>
      <xdr:colOff>219074</xdr:colOff>
      <xdr:row>23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F7C75F7-021E-42C1-A0EC-B59120532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257175</xdr:colOff>
      <xdr:row>15</xdr:row>
      <xdr:rowOff>58360</xdr:rowOff>
    </xdr:from>
    <xdr:to>
      <xdr:col>3</xdr:col>
      <xdr:colOff>1428750</xdr:colOff>
      <xdr:row>22</xdr:row>
      <xdr:rowOff>131103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27BCCB3-5FF1-4957-9774-7D5930206F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1466851</xdr:colOff>
      <xdr:row>15</xdr:row>
      <xdr:rowOff>47625</xdr:rowOff>
    </xdr:from>
    <xdr:to>
      <xdr:col>6</xdr:col>
      <xdr:colOff>66675</xdr:colOff>
      <xdr:row>22</xdr:row>
      <xdr:rowOff>133018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5DDABCA-499D-44FF-90EA-218000DC7B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</xdr:row>
      <xdr:rowOff>76200</xdr:rowOff>
    </xdr:from>
    <xdr:to>
      <xdr:col>2</xdr:col>
      <xdr:colOff>653143</xdr:colOff>
      <xdr:row>15</xdr:row>
      <xdr:rowOff>19050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9314C5A-4ECD-4993-BF20-0888AD860A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810986</xdr:colOff>
      <xdr:row>7</xdr:row>
      <xdr:rowOff>62594</xdr:rowOff>
    </xdr:from>
    <xdr:to>
      <xdr:col>9</xdr:col>
      <xdr:colOff>28575</xdr:colOff>
      <xdr:row>15</xdr:row>
      <xdr:rowOff>30935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1CF5F83-D475-43A5-81AB-8F2040EA9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28575</xdr:colOff>
      <xdr:row>23</xdr:row>
      <xdr:rowOff>19049</xdr:rowOff>
    </xdr:from>
    <xdr:to>
      <xdr:col>0</xdr:col>
      <xdr:colOff>1943100</xdr:colOff>
      <xdr:row>26</xdr:row>
      <xdr:rowOff>38100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5142674-A313-6831-2083-2EE45EC9FE84}"/>
            </a:ext>
          </a:extLst>
        </xdr:cNvPr>
        <xdr:cNvSpPr txBox="1"/>
      </xdr:nvSpPr>
      <xdr:spPr>
        <a:xfrm>
          <a:off x="28575" y="3543299"/>
          <a:ext cx="1914525" cy="609601"/>
        </a:xfrm>
        <a:prstGeom prst="rect">
          <a:avLst/>
        </a:prstGeom>
        <a:solidFill>
          <a:schemeClr val="bg1"/>
        </a:solidFill>
        <a:ln w="12700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• Sales grew </a:t>
          </a:r>
          <a:r>
            <a:rPr lang="en-US" b="1"/>
            <a:t>+9.85% WoW (44,331)</a:t>
          </a:r>
          <a:r>
            <a:rPr lang="en-US"/>
            <a:t> indicating short-term recovery 📈</a:t>
          </a:r>
          <a:endParaRPr lang="en-US" sz="1100"/>
        </a:p>
      </xdr:txBody>
    </xdr:sp>
    <xdr:clientData/>
  </xdr:twoCellAnchor>
  <xdr:twoCellAnchor>
    <xdr:from>
      <xdr:col>0</xdr:col>
      <xdr:colOff>1962151</xdr:colOff>
      <xdr:row>23</xdr:row>
      <xdr:rowOff>19050</xdr:rowOff>
    </xdr:from>
    <xdr:to>
      <xdr:col>2</xdr:col>
      <xdr:colOff>857251</xdr:colOff>
      <xdr:row>26</xdr:row>
      <xdr:rowOff>47625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39ADB57-2AA1-271B-044B-1C18CB23FACB}"/>
            </a:ext>
          </a:extLst>
        </xdr:cNvPr>
        <xdr:cNvSpPr txBox="1"/>
      </xdr:nvSpPr>
      <xdr:spPr>
        <a:xfrm>
          <a:off x="1962151" y="3543300"/>
          <a:ext cx="2038350" cy="619125"/>
        </a:xfrm>
        <a:prstGeom prst="rect">
          <a:avLst/>
        </a:prstGeom>
        <a:solidFill>
          <a:schemeClr val="bg1"/>
        </a:solidFill>
        <a:ln w="12700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• Sales dropped </a:t>
          </a:r>
          <a:r>
            <a:rPr lang="en-US" b="1"/>
            <a:t>-34.56% MoM (245,778 → 160,840)</a:t>
          </a:r>
          <a:r>
            <a:rPr lang="en-US"/>
            <a:t> showing overall slowdown ⚠️</a:t>
          </a:r>
          <a:endParaRPr lang="en-US" sz="1100"/>
        </a:p>
      </xdr:txBody>
    </xdr:sp>
    <xdr:clientData/>
  </xdr:twoCellAnchor>
  <xdr:twoCellAnchor>
    <xdr:from>
      <xdr:col>2</xdr:col>
      <xdr:colOff>885825</xdr:colOff>
      <xdr:row>23</xdr:row>
      <xdr:rowOff>19050</xdr:rowOff>
    </xdr:from>
    <xdr:to>
      <xdr:col>3</xdr:col>
      <xdr:colOff>1457325</xdr:colOff>
      <xdr:row>26</xdr:row>
      <xdr:rowOff>28575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6629A1A-56BB-8E5D-F1A8-670AE1A2FA8B}"/>
            </a:ext>
          </a:extLst>
        </xdr:cNvPr>
        <xdr:cNvSpPr txBox="1"/>
      </xdr:nvSpPr>
      <xdr:spPr>
        <a:xfrm>
          <a:off x="4029075" y="3543300"/>
          <a:ext cx="2076450" cy="600075"/>
        </a:xfrm>
        <a:prstGeom prst="rect">
          <a:avLst/>
        </a:prstGeom>
        <a:solidFill>
          <a:schemeClr val="bg1"/>
        </a:solidFill>
        <a:ln w="12700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• </a:t>
          </a:r>
          <a:r>
            <a:rPr lang="en-US" b="1"/>
            <a:t>Platform A (~214K)</a:t>
          </a:r>
          <a:r>
            <a:rPr lang="en-US"/>
            <a:t> is the dominant contributor across all platforms</a:t>
          </a:r>
          <a:endParaRPr lang="en-US" sz="1100"/>
        </a:p>
      </xdr:txBody>
    </xdr:sp>
    <xdr:clientData/>
  </xdr:twoCellAnchor>
  <xdr:twoCellAnchor>
    <xdr:from>
      <xdr:col>3</xdr:col>
      <xdr:colOff>1495425</xdr:colOff>
      <xdr:row>23</xdr:row>
      <xdr:rowOff>19050</xdr:rowOff>
    </xdr:from>
    <xdr:to>
      <xdr:col>5</xdr:col>
      <xdr:colOff>561975</xdr:colOff>
      <xdr:row>26</xdr:row>
      <xdr:rowOff>38100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B52FED6-2AC3-9A88-6994-D2B4DB7C499B}"/>
            </a:ext>
          </a:extLst>
        </xdr:cNvPr>
        <xdr:cNvSpPr txBox="1"/>
      </xdr:nvSpPr>
      <xdr:spPr>
        <a:xfrm>
          <a:off x="6143625" y="3543300"/>
          <a:ext cx="2305050" cy="609600"/>
        </a:xfrm>
        <a:prstGeom prst="rect">
          <a:avLst/>
        </a:prstGeom>
        <a:solidFill>
          <a:schemeClr val="bg1"/>
        </a:solidFill>
        <a:ln w="12700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• </a:t>
          </a:r>
          <a:r>
            <a:rPr lang="en-US" b="1"/>
            <a:t>Platform E declined -72.21% WoW</a:t>
          </a:r>
          <a:r>
            <a:rPr lang="en-US"/>
            <a:t>, indicating a major performance drop 🚨</a:t>
          </a:r>
          <a:endParaRPr lang="en-US" sz="1100"/>
        </a:p>
      </xdr:txBody>
    </xdr:sp>
    <xdr:clientData/>
  </xdr:twoCellAnchor>
  <xdr:twoCellAnchor>
    <xdr:from>
      <xdr:col>5</xdr:col>
      <xdr:colOff>590550</xdr:colOff>
      <xdr:row>23</xdr:row>
      <xdr:rowOff>28575</xdr:rowOff>
    </xdr:from>
    <xdr:to>
      <xdr:col>6</xdr:col>
      <xdr:colOff>1676400</xdr:colOff>
      <xdr:row>26</xdr:row>
      <xdr:rowOff>28575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3D2CA25-E6AA-7990-675E-E4F47CED62FB}"/>
            </a:ext>
          </a:extLst>
        </xdr:cNvPr>
        <xdr:cNvSpPr txBox="1"/>
      </xdr:nvSpPr>
      <xdr:spPr>
        <a:xfrm>
          <a:off x="8477250" y="3552825"/>
          <a:ext cx="2276475" cy="590550"/>
        </a:xfrm>
        <a:prstGeom prst="rect">
          <a:avLst/>
        </a:prstGeom>
        <a:solidFill>
          <a:schemeClr val="bg1"/>
        </a:solidFill>
        <a:ln w="12700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• </a:t>
          </a:r>
          <a:r>
            <a:rPr lang="en-US" b="1"/>
            <a:t>Platform D &amp; Amazon Now F (+220.62% WoW)</a:t>
          </a:r>
          <a:r>
            <a:rPr lang="en-US"/>
            <a:t> driven by low base, not sustainable</a:t>
          </a:r>
          <a:endParaRPr lang="en-US" sz="1100"/>
        </a:p>
      </xdr:txBody>
    </xdr:sp>
    <xdr:clientData/>
  </xdr:twoCellAnchor>
  <xdr:twoCellAnchor>
    <xdr:from>
      <xdr:col>6</xdr:col>
      <xdr:colOff>1714500</xdr:colOff>
      <xdr:row>23</xdr:row>
      <xdr:rowOff>19050</xdr:rowOff>
    </xdr:from>
    <xdr:to>
      <xdr:col>9</xdr:col>
      <xdr:colOff>57150</xdr:colOff>
      <xdr:row>26</xdr:row>
      <xdr:rowOff>28575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E091816-BA1E-C60B-2623-2A9567A55D29}"/>
            </a:ext>
          </a:extLst>
        </xdr:cNvPr>
        <xdr:cNvSpPr txBox="1"/>
      </xdr:nvSpPr>
      <xdr:spPr>
        <a:xfrm>
          <a:off x="10782300" y="3543300"/>
          <a:ext cx="1762125" cy="600075"/>
        </a:xfrm>
        <a:prstGeom prst="rect">
          <a:avLst/>
        </a:prstGeom>
        <a:solidFill>
          <a:schemeClr val="bg1"/>
        </a:solidFill>
        <a:ln w="12700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• Sales are concentrated in few SKUs (</a:t>
          </a:r>
          <a:r>
            <a:rPr lang="en-US" b="1"/>
            <a:t>SKU 1-c, SKU 1-b</a:t>
          </a:r>
          <a:r>
            <a:rPr lang="en-US"/>
            <a:t>)</a:t>
          </a:r>
          <a:endParaRPr lang="en-US" sz="1100"/>
        </a:p>
      </xdr:txBody>
    </xdr:sp>
    <xdr:clientData/>
  </xdr:twoCellAnchor>
  <xdr:twoCellAnchor>
    <xdr:from>
      <xdr:col>0</xdr:col>
      <xdr:colOff>28575</xdr:colOff>
      <xdr:row>0</xdr:row>
      <xdr:rowOff>9525</xdr:rowOff>
    </xdr:from>
    <xdr:to>
      <xdr:col>8</xdr:col>
      <xdr:colOff>133350</xdr:colOff>
      <xdr:row>3</xdr:row>
      <xdr:rowOff>28575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B5F4BBD-E977-C8E6-D331-BD03968C77E7}"/>
            </a:ext>
          </a:extLst>
        </xdr:cNvPr>
        <xdr:cNvSpPr txBox="1"/>
      </xdr:nvSpPr>
      <xdr:spPr>
        <a:xfrm>
          <a:off x="28575" y="9525"/>
          <a:ext cx="12458700" cy="50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tx2">
                  <a:lumMod val="95000"/>
                  <a:lumOff val="5000"/>
                </a:schemeClr>
              </a:solidFill>
              <a:latin typeface="Trebuchet MS" panose="020B0603020202020204" pitchFamily="34" charset="0"/>
            </a:rPr>
            <a:t>Multi-Platform Sales Performance Dashboard </a:t>
          </a:r>
        </a:p>
        <a:p>
          <a:pPr algn="ctr"/>
          <a:r>
            <a:rPr lang="en-US" sz="1000" b="1">
              <a:latin typeface="Trebuchet MS" panose="020B0603020202020204" pitchFamily="34" charset="0"/>
            </a:rPr>
            <a:t>June – August Insights</a:t>
          </a:r>
          <a:endParaRPr lang="en-US" sz="1000" b="1">
            <a:solidFill>
              <a:schemeClr val="tx2">
                <a:lumMod val="95000"/>
                <a:lumOff val="5000"/>
              </a:schemeClr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6</xdr:col>
      <xdr:colOff>104775</xdr:colOff>
      <xdr:row>15</xdr:row>
      <xdr:rowOff>47626</xdr:rowOff>
    </xdr:from>
    <xdr:to>
      <xdr:col>9</xdr:col>
      <xdr:colOff>38101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932289-08CE-4F71-B90E-CC160CA514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Table (2)"/>
      <sheetName val="Final Data"/>
      <sheetName val="Book2"/>
    </sheetNames>
    <sheetDataSet>
      <sheetData sheetId="0"/>
      <sheetData sheetId="1"/>
      <sheetData sheetId="2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06.142635069446" backgroundQuery="1" createdVersion="8" refreshedVersion="8" minRefreshableVersion="3" recordCount="0" supportSubquery="1" supportAdvancedDrill="1" xr:uid="{A07943CA-D735-431F-BE43-AD8C71045757}">
  <cacheSource type="external" connectionId="15"/>
  <cacheFields count="3">
    <cacheField name="[Measures].[Sum of Sales]" caption="Sum of Sales" numFmtId="0" hierarchy="30" level="32767"/>
    <cacheField name="[Append321].[Platform].[Platform]" caption="Platform" numFmtId="0" level="1">
      <sharedItems count="6">
        <s v="AMAZON NOW F"/>
        <s v="Platform A"/>
        <s v="Platform B"/>
        <s v="Platform C"/>
        <s v="Platform D"/>
        <s v="Platform E"/>
      </sharedItems>
    </cacheField>
    <cacheField name="[Append321].[Date].[Date]" caption="Date" numFmtId="0" hierarchy="2" level="1">
      <sharedItems containsSemiMixedTypes="0" containsNonDate="0" containsDate="1" containsString="0" minDate="2024-06-01T00:00:00" maxDate="2024-09-01T00:00:00" count="92"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</sharedItems>
    </cacheField>
  </cacheFields>
  <cacheHierarchies count="34">
    <cacheHierarchy uniqueName="[Append321].[Platform]" caption="Platform" attribute="1" defaultMemberUniqueName="[Append321].[Platform].[All]" allUniqueName="[Append321].[Platform].[All]" dimensionUniqueName="[Append321]" displayFolder="" count="2" memberValueDatatype="130" unbalanced="0">
      <fieldsUsage count="2">
        <fieldUsage x="-1"/>
        <fieldUsage x="1"/>
      </fieldsUsage>
    </cacheHierarchy>
    <cacheHierarchy uniqueName="[Append321].[SKU]" caption="SKU" attribute="1" defaultMemberUniqueName="[Append321].[SKU].[All]" allUniqueName="[Append321].[SKU].[All]" dimensionUniqueName="[Append321]" displayFolder="" count="0" memberValueDatatype="130" unbalanced="0"/>
    <cacheHierarchy uniqueName="[Append321].[Date]" caption="Date" attribute="1" time="1" defaultMemberUniqueName="[Append321].[Date].[All]" allUniqueName="[Append321].[Date].[All]" dimensionUniqueName="[Append321]" displayFolder="" count="2" memberValueDatatype="7" unbalanced="0">
      <fieldsUsage count="2">
        <fieldUsage x="-1"/>
        <fieldUsage x="2"/>
      </fieldsUsage>
    </cacheHierarchy>
    <cacheHierarchy uniqueName="[Append321].[Sales]" caption="Sales" attribute="1" defaultMemberUniqueName="[Append321].[Sales].[All]" allUniqueName="[Append321].[Sales].[All]" dimensionUniqueName="[Append321]" displayFolder="" count="0" memberValueDatatype="20" unbalanced="0"/>
    <cacheHierarchy uniqueName="[Append321].[Date (Month)]" caption="Date (Month)" attribute="1" defaultMemberUniqueName="[Append321].[Date (Month)].[All]" allUniqueName="[Append321].[Date (Month)].[All]" dimensionUniqueName="[Append321]" displayFolder="" count="0" memberValueDatatype="130" unbalanced="0"/>
    <cacheHierarchy uniqueName="[Append3214].[Platform]" caption="Platform" attribute="1" defaultMemberUniqueName="[Append3214].[Platform].[All]" allUniqueName="[Append3214].[Platform].[All]" dimensionUniqueName="[Append3214]" displayFolder="" count="0" memberValueDatatype="130" unbalanced="0"/>
    <cacheHierarchy uniqueName="[Append3214].[SKU]" caption="SKU" attribute="1" defaultMemberUniqueName="[Append3214].[SKU].[All]" allUniqueName="[Append3214].[SKU].[All]" dimensionUniqueName="[Append3214]" displayFolder="" count="0" memberValueDatatype="130" unbalanced="0"/>
    <cacheHierarchy uniqueName="[Append3214].[Date]" caption="Date" attribute="1" time="1" defaultMemberUniqueName="[Append3214].[Date].[All]" allUniqueName="[Append3214].[Date].[All]" dimensionUniqueName="[Append3214]" displayFolder="" count="0" memberValueDatatype="7" unbalanced="0"/>
    <cacheHierarchy uniqueName="[Append3214].[Sales]" caption="Sales" attribute="1" defaultMemberUniqueName="[Append3214].[Sales].[All]" allUniqueName="[Append3214].[Sales].[All]" dimensionUniqueName="[Append3214]" displayFolder="" count="0" memberValueDatatype="20" unbalanced="0"/>
    <cacheHierarchy uniqueName="[Append3214].[Weeknum]" caption="Weeknum" attribute="1" defaultMemberUniqueName="[Append3214].[Weeknum].[All]" allUniqueName="[Append3214].[Weeknum].[All]" dimensionUniqueName="[Append3214]" displayFolder="" count="0" memberValueDatatype="20" unbalanced="0"/>
    <cacheHierarchy uniqueName="[Append32141].[Platform]" caption="Platform" attribute="1" defaultMemberUniqueName="[Append32141].[Platform].[All]" allUniqueName="[Append32141].[Platform].[All]" dimensionUniqueName="[Append32141]" displayFolder="" count="0" memberValueDatatype="130" unbalanced="0"/>
    <cacheHierarchy uniqueName="[Append32141].[SKU]" caption="SKU" attribute="1" defaultMemberUniqueName="[Append32141].[SKU].[All]" allUniqueName="[Append32141].[SKU].[All]" dimensionUniqueName="[Append32141]" displayFolder="" count="0" memberValueDatatype="130" unbalanced="0"/>
    <cacheHierarchy uniqueName="[Append32141].[Date]" caption="Date" attribute="1" time="1" defaultMemberUniqueName="[Append32141].[Date].[All]" allUniqueName="[Append32141].[Date].[All]" dimensionUniqueName="[Append32141]" displayFolder="" count="0" memberValueDatatype="7" unbalanced="0"/>
    <cacheHierarchy uniqueName="[Append32141].[Sales]" caption="Sales" attribute="1" defaultMemberUniqueName="[Append32141].[Sales].[All]" allUniqueName="[Append32141].[Sales].[All]" dimensionUniqueName="[Append32141]" displayFolder="" count="0" memberValueDatatype="20" unbalanced="0"/>
    <cacheHierarchy uniqueName="[Append32141].[Weeknum]" caption="Weeknum" attribute="1" defaultMemberUniqueName="[Append32141].[Weeknum].[All]" allUniqueName="[Append32141].[Weeknum].[All]" dimensionUniqueName="[Append32141]" displayFolder="" count="0" memberValueDatatype="20" unbalanced="0"/>
    <cacheHierarchy uniqueName="[Append32141].[Date (Month)]" caption="Date (Month)" attribute="1" defaultMemberUniqueName="[Append32141].[Date (Month)].[All]" allUniqueName="[Append32141].[Date (Month)].[All]" dimensionUniqueName="[Append32141]" displayFolder="" count="0" memberValueDatatype="130" unbalanced="0"/>
    <cacheHierarchy uniqueName="[Append32142].[Platform]" caption="Platform" attribute="1" defaultMemberUniqueName="[Append32142].[Platform].[All]" allUniqueName="[Append32142].[Platform].[All]" dimensionUniqueName="[Append32142]" displayFolder="" count="0" memberValueDatatype="130" unbalanced="0"/>
    <cacheHierarchy uniqueName="[Append32142].[SKU]" caption="SKU" attribute="1" defaultMemberUniqueName="[Append32142].[SKU].[All]" allUniqueName="[Append32142].[SKU].[All]" dimensionUniqueName="[Append32142]" displayFolder="" count="0" memberValueDatatype="130" unbalanced="0"/>
    <cacheHierarchy uniqueName="[Append32142].[Date]" caption="Date" attribute="1" time="1" defaultMemberUniqueName="[Append32142].[Date].[All]" allUniqueName="[Append32142].[Date].[All]" dimensionUniqueName="[Append32142]" displayFolder="" count="0" memberValueDatatype="7" unbalanced="0"/>
    <cacheHierarchy uniqueName="[Append32142].[Sales]" caption="Sales" attribute="1" defaultMemberUniqueName="[Append32142].[Sales].[All]" allUniqueName="[Append32142].[Sales].[All]" dimensionUniqueName="[Append32142]" displayFolder="" count="0" memberValueDatatype="20" unbalanced="0"/>
    <cacheHierarchy uniqueName="[Append32142].[Weeknum]" caption="Weeknum" attribute="1" defaultMemberUniqueName="[Append32142].[Weeknum].[All]" allUniqueName="[Append32142].[Weeknum].[All]" dimensionUniqueName="[Append32142]" displayFolder="" count="0" memberValueDatatype="20" unbalanced="0"/>
    <cacheHierarchy uniqueName="[Append32142].[Date (Month)]" caption="Date (Month)" attribute="1" defaultMemberUniqueName="[Append32142].[Date (Month)].[All]" allUniqueName="[Append32142].[Date (Month)].[All]" dimensionUniqueName="[Append32142]" displayFolder="" count="0" memberValueDatatype="130" unbalanced="0"/>
    <cacheHierarchy uniqueName="[Append321].[Date (Month Index)]" caption="Date (Month Index)" attribute="1" defaultMemberUniqueName="[Append321].[Date (Month Index)].[All]" allUniqueName="[Append321].[Date (Month Index)].[All]" dimensionUniqueName="[Append321]" displayFolder="" count="0" memberValueDatatype="20" unbalanced="0" hidden="1"/>
    <cacheHierarchy uniqueName="[Append32141].[Date (Month Index)]" caption="Date (Month Index)" attribute="1" defaultMemberUniqueName="[Append32141].[Date (Month Index)].[All]" allUniqueName="[Append32141].[Date (Month Index)].[All]" dimensionUniqueName="[Append32141]" displayFolder="" count="0" memberValueDatatype="20" unbalanced="0" hidden="1"/>
    <cacheHierarchy uniqueName="[Append32142].[Date (Month Index)]" caption="Date (Month Index)" attribute="1" defaultMemberUniqueName="[Append32142].[Date (Month Index)].[All]" allUniqueName="[Append32142].[Date (Month Index)].[All]" dimensionUniqueName="[Append32142]" displayFolder="" count="0" memberValueDatatype="20" unbalanced="0" hidden="1"/>
    <cacheHierarchy uniqueName="[Measures].[__XL_Count Append321]" caption="__XL_Count Append321" measure="1" displayFolder="" measureGroup="Append321" count="0" hidden="1"/>
    <cacheHierarchy uniqueName="[Measures].[__XL_Count Append3214]" caption="__XL_Count Append3214" measure="1" displayFolder="" measureGroup="Append3214" count="0" hidden="1"/>
    <cacheHierarchy uniqueName="[Measures].[__XL_Count Append32141]" caption="__XL_Count Append32141" measure="1" displayFolder="" measureGroup="Append32141" count="0" hidden="1"/>
    <cacheHierarchy uniqueName="[Measures].[__XL_Count Append32142]" caption="__XL_Count Append32142" measure="1" displayFolder="" measureGroup="Append3214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Append32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Sales 2]" caption="Sum of Sales 2" measure="1" displayFolder="" measureGroup="Append321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es 3]" caption="Sum of Sales 3" measure="1" displayFolder="" measureGroup="Append3214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4]" caption="Sum of Sales 4" measure="1" displayFolder="" measureGroup="Append32142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Append321" uniqueName="[Append321]" caption="Append321"/>
    <dimension name="Append3214" uniqueName="[Append3214]" caption="Append3214"/>
    <dimension name="Append32141" uniqueName="[Append32141]" caption="Append32141"/>
    <dimension name="Append32142" uniqueName="[Append32142]" caption="Append32142"/>
    <dimension measure="1" name="Measures" uniqueName="[Measures]" caption="Measures"/>
  </dimensions>
  <measureGroups count="4">
    <measureGroup name="Append321" caption="Append321"/>
    <measureGroup name="Append3214" caption="Append3214"/>
    <measureGroup name="Append32141" caption="Append32141"/>
    <measureGroup name="Append32142" caption="Append32142"/>
  </measureGroups>
  <maps count="4">
    <map measureGroup="0" dimension="0"/>
    <map measureGroup="1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06.14263761574" backgroundQuery="1" createdVersion="8" refreshedVersion="8" minRefreshableVersion="3" recordCount="0" supportSubquery="1" supportAdvancedDrill="1" xr:uid="{1AEBDB79-587B-408F-80F4-3D5A38FC221C}">
  <cacheSource type="external" connectionId="15"/>
  <cacheFields count="3">
    <cacheField name="[Append32141].[Platform].[Platform]" caption="Platform" numFmtId="0" hierarchy="10" level="1">
      <sharedItems count="6">
        <s v="AMAZON NOW F"/>
        <s v="Platform A"/>
        <s v="Platform B"/>
        <s v="Platform C"/>
        <s v="Platform D"/>
        <s v="Platform E"/>
      </sharedItems>
    </cacheField>
    <cacheField name="[Append32141].[Weeknum].[Weeknum]" caption="Weeknum" numFmtId="0" hierarchy="14" level="1">
      <sharedItems containsSemiMixedTypes="0" containsString="0" containsNumber="1" containsInteger="1" minValue="22" maxValue="35" count="14"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</sharedItems>
      <extLst>
        <ext xmlns:x15="http://schemas.microsoft.com/office/spreadsheetml/2010/11/main" uri="{4F2E5C28-24EA-4eb8-9CBF-B6C8F9C3D259}">
          <x15:cachedUniqueNames>
            <x15:cachedUniqueName index="0" name="[Append32141].[Weeknum].&amp;[22]"/>
            <x15:cachedUniqueName index="1" name="[Append32141].[Weeknum].&amp;[23]"/>
            <x15:cachedUniqueName index="2" name="[Append32141].[Weeknum].&amp;[24]"/>
            <x15:cachedUniqueName index="3" name="[Append32141].[Weeknum].&amp;[25]"/>
            <x15:cachedUniqueName index="4" name="[Append32141].[Weeknum].&amp;[26]"/>
            <x15:cachedUniqueName index="5" name="[Append32141].[Weeknum].&amp;[27]"/>
            <x15:cachedUniqueName index="6" name="[Append32141].[Weeknum].&amp;[28]"/>
            <x15:cachedUniqueName index="7" name="[Append32141].[Weeknum].&amp;[29]"/>
            <x15:cachedUniqueName index="8" name="[Append32141].[Weeknum].&amp;[30]"/>
            <x15:cachedUniqueName index="9" name="[Append32141].[Weeknum].&amp;[31]"/>
            <x15:cachedUniqueName index="10" name="[Append32141].[Weeknum].&amp;[32]"/>
            <x15:cachedUniqueName index="11" name="[Append32141].[Weeknum].&amp;[33]"/>
            <x15:cachedUniqueName index="12" name="[Append32141].[Weeknum].&amp;[34]"/>
            <x15:cachedUniqueName index="13" name="[Append32141].[Weeknum].&amp;[35]"/>
          </x15:cachedUniqueNames>
        </ext>
      </extLst>
    </cacheField>
    <cacheField name="[Measures].[Sum of Sales 3]" caption="Sum of Sales 3" numFmtId="0" hierarchy="32" level="32767"/>
  </cacheFields>
  <cacheHierarchies count="34">
    <cacheHierarchy uniqueName="[Append321].[Platform]" caption="Platform" attribute="1" defaultMemberUniqueName="[Append321].[Platform].[All]" allUniqueName="[Append321].[Platform].[All]" dimensionUniqueName="[Append321]" displayFolder="" count="0" memberValueDatatype="130" unbalanced="0"/>
    <cacheHierarchy uniqueName="[Append321].[SKU]" caption="SKU" attribute="1" defaultMemberUniqueName="[Append321].[SKU].[All]" allUniqueName="[Append321].[SKU].[All]" dimensionUniqueName="[Append321]" displayFolder="" count="0" memberValueDatatype="130" unbalanced="0"/>
    <cacheHierarchy uniqueName="[Append321].[Date]" caption="Date" attribute="1" time="1" defaultMemberUniqueName="[Append321].[Date].[All]" allUniqueName="[Append321].[Date].[All]" dimensionUniqueName="[Append321]" displayFolder="" count="0" memberValueDatatype="7" unbalanced="0"/>
    <cacheHierarchy uniqueName="[Append321].[Sales]" caption="Sales" attribute="1" defaultMemberUniqueName="[Append321].[Sales].[All]" allUniqueName="[Append321].[Sales].[All]" dimensionUniqueName="[Append321]" displayFolder="" count="0" memberValueDatatype="20" unbalanced="0"/>
    <cacheHierarchy uniqueName="[Append321].[Date (Month)]" caption="Date (Month)" attribute="1" defaultMemberUniqueName="[Append321].[Date (Month)].[All]" allUniqueName="[Append321].[Date (Month)].[All]" dimensionUniqueName="[Append321]" displayFolder="" count="0" memberValueDatatype="130" unbalanced="0"/>
    <cacheHierarchy uniqueName="[Append3214].[Platform]" caption="Platform" attribute="1" defaultMemberUniqueName="[Append3214].[Platform].[All]" allUniqueName="[Append3214].[Platform].[All]" dimensionUniqueName="[Append3214]" displayFolder="" count="0" memberValueDatatype="130" unbalanced="0"/>
    <cacheHierarchy uniqueName="[Append3214].[SKU]" caption="SKU" attribute="1" defaultMemberUniqueName="[Append3214].[SKU].[All]" allUniqueName="[Append3214].[SKU].[All]" dimensionUniqueName="[Append3214]" displayFolder="" count="0" memberValueDatatype="130" unbalanced="0"/>
    <cacheHierarchy uniqueName="[Append3214].[Date]" caption="Date" attribute="1" time="1" defaultMemberUniqueName="[Append3214].[Date].[All]" allUniqueName="[Append3214].[Date].[All]" dimensionUniqueName="[Append3214]" displayFolder="" count="0" memberValueDatatype="7" unbalanced="0"/>
    <cacheHierarchy uniqueName="[Append3214].[Sales]" caption="Sales" attribute="1" defaultMemberUniqueName="[Append3214].[Sales].[All]" allUniqueName="[Append3214].[Sales].[All]" dimensionUniqueName="[Append3214]" displayFolder="" count="0" memberValueDatatype="20" unbalanced="0"/>
    <cacheHierarchy uniqueName="[Append3214].[Weeknum]" caption="Weeknum" attribute="1" defaultMemberUniqueName="[Append3214].[Weeknum].[All]" allUniqueName="[Append3214].[Weeknum].[All]" dimensionUniqueName="[Append3214]" displayFolder="" count="0" memberValueDatatype="20" unbalanced="0"/>
    <cacheHierarchy uniqueName="[Append32141].[Platform]" caption="Platform" attribute="1" defaultMemberUniqueName="[Append32141].[Platform].[All]" allUniqueName="[Append32141].[Platform].[All]" dimensionUniqueName="[Append32141]" displayFolder="" count="2" memberValueDatatype="130" unbalanced="0">
      <fieldsUsage count="2">
        <fieldUsage x="-1"/>
        <fieldUsage x="0"/>
      </fieldsUsage>
    </cacheHierarchy>
    <cacheHierarchy uniqueName="[Append32141].[SKU]" caption="SKU" attribute="1" defaultMemberUniqueName="[Append32141].[SKU].[All]" allUniqueName="[Append32141].[SKU].[All]" dimensionUniqueName="[Append32141]" displayFolder="" count="0" memberValueDatatype="130" unbalanced="0"/>
    <cacheHierarchy uniqueName="[Append32141].[Date]" caption="Date" attribute="1" time="1" defaultMemberUniqueName="[Append32141].[Date].[All]" allUniqueName="[Append32141].[Date].[All]" dimensionUniqueName="[Append32141]" displayFolder="" count="0" memberValueDatatype="7" unbalanced="0"/>
    <cacheHierarchy uniqueName="[Append32141].[Sales]" caption="Sales" attribute="1" defaultMemberUniqueName="[Append32141].[Sales].[All]" allUniqueName="[Append32141].[Sales].[All]" dimensionUniqueName="[Append32141]" displayFolder="" count="0" memberValueDatatype="20" unbalanced="0"/>
    <cacheHierarchy uniqueName="[Append32141].[Weeknum]" caption="Weeknum" attribute="1" defaultMemberUniqueName="[Append32141].[Weeknum].[All]" allUniqueName="[Append32141].[Weeknum].[All]" dimensionUniqueName="[Append32141]" displayFolder="" count="2" memberValueDatatype="20" unbalanced="0">
      <fieldsUsage count="2">
        <fieldUsage x="-1"/>
        <fieldUsage x="1"/>
      </fieldsUsage>
    </cacheHierarchy>
    <cacheHierarchy uniqueName="[Append32141].[Date (Month)]" caption="Date (Month)" attribute="1" defaultMemberUniqueName="[Append32141].[Date (Month)].[All]" allUniqueName="[Append32141].[Date (Month)].[All]" dimensionUniqueName="[Append32141]" displayFolder="" count="0" memberValueDatatype="130" unbalanced="0"/>
    <cacheHierarchy uniqueName="[Append32142].[Platform]" caption="Platform" attribute="1" defaultMemberUniqueName="[Append32142].[Platform].[All]" allUniqueName="[Append32142].[Platform].[All]" dimensionUniqueName="[Append32142]" displayFolder="" count="0" memberValueDatatype="130" unbalanced="0"/>
    <cacheHierarchy uniqueName="[Append32142].[SKU]" caption="SKU" attribute="1" defaultMemberUniqueName="[Append32142].[SKU].[All]" allUniqueName="[Append32142].[SKU].[All]" dimensionUniqueName="[Append32142]" displayFolder="" count="0" memberValueDatatype="130" unbalanced="0"/>
    <cacheHierarchy uniqueName="[Append32142].[Date]" caption="Date" attribute="1" time="1" defaultMemberUniqueName="[Append32142].[Date].[All]" allUniqueName="[Append32142].[Date].[All]" dimensionUniqueName="[Append32142]" displayFolder="" count="0" memberValueDatatype="7" unbalanced="0"/>
    <cacheHierarchy uniqueName="[Append32142].[Sales]" caption="Sales" attribute="1" defaultMemberUniqueName="[Append32142].[Sales].[All]" allUniqueName="[Append32142].[Sales].[All]" dimensionUniqueName="[Append32142]" displayFolder="" count="0" memberValueDatatype="20" unbalanced="0"/>
    <cacheHierarchy uniqueName="[Append32142].[Weeknum]" caption="Weeknum" attribute="1" defaultMemberUniqueName="[Append32142].[Weeknum].[All]" allUniqueName="[Append32142].[Weeknum].[All]" dimensionUniqueName="[Append32142]" displayFolder="" count="0" memberValueDatatype="20" unbalanced="0"/>
    <cacheHierarchy uniqueName="[Append32142].[Date (Month)]" caption="Date (Month)" attribute="1" defaultMemberUniqueName="[Append32142].[Date (Month)].[All]" allUniqueName="[Append32142].[Date (Month)].[All]" dimensionUniqueName="[Append32142]" displayFolder="" count="0" memberValueDatatype="130" unbalanced="0"/>
    <cacheHierarchy uniqueName="[Append321].[Date (Month Index)]" caption="Date (Month Index)" attribute="1" defaultMemberUniqueName="[Append321].[Date (Month Index)].[All]" allUniqueName="[Append321].[Date (Month Index)].[All]" dimensionUniqueName="[Append321]" displayFolder="" count="0" memberValueDatatype="20" unbalanced="0" hidden="1"/>
    <cacheHierarchy uniqueName="[Append32141].[Date (Month Index)]" caption="Date (Month Index)" attribute="1" defaultMemberUniqueName="[Append32141].[Date (Month Index)].[All]" allUniqueName="[Append32141].[Date (Month Index)].[All]" dimensionUniqueName="[Append32141]" displayFolder="" count="0" memberValueDatatype="20" unbalanced="0" hidden="1"/>
    <cacheHierarchy uniqueName="[Append32142].[Date (Month Index)]" caption="Date (Month Index)" attribute="1" defaultMemberUniqueName="[Append32142].[Date (Month Index)].[All]" allUniqueName="[Append32142].[Date (Month Index)].[All]" dimensionUniqueName="[Append32142]" displayFolder="" count="0" memberValueDatatype="20" unbalanced="0" hidden="1"/>
    <cacheHierarchy uniqueName="[Measures].[__XL_Count Append321]" caption="__XL_Count Append321" measure="1" displayFolder="" measureGroup="Append321" count="0" hidden="1"/>
    <cacheHierarchy uniqueName="[Measures].[__XL_Count Append3214]" caption="__XL_Count Append3214" measure="1" displayFolder="" measureGroup="Append3214" count="0" hidden="1"/>
    <cacheHierarchy uniqueName="[Measures].[__XL_Count Append32141]" caption="__XL_Count Append32141" measure="1" displayFolder="" measureGroup="Append32141" count="0" hidden="1"/>
    <cacheHierarchy uniqueName="[Measures].[__XL_Count Append32142]" caption="__XL_Count Append32142" measure="1" displayFolder="" measureGroup="Append3214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Append32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Sales 2]" caption="Sum of Sales 2" measure="1" displayFolder="" measureGroup="Append321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es 3]" caption="Sum of Sales 3" measure="1" displayFolder="" measureGroup="Append3214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4]" caption="Sum of Sales 4" measure="1" displayFolder="" measureGroup="Append32142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Append321" uniqueName="[Append321]" caption="Append321"/>
    <dimension name="Append3214" uniqueName="[Append3214]" caption="Append3214"/>
    <dimension name="Append32141" uniqueName="[Append32141]" caption="Append32141"/>
    <dimension name="Append32142" uniqueName="[Append32142]" caption="Append32142"/>
    <dimension measure="1" name="Measures" uniqueName="[Measures]" caption="Measures"/>
  </dimensions>
  <measureGroups count="4">
    <measureGroup name="Append321" caption="Append321"/>
    <measureGroup name="Append3214" caption="Append3214"/>
    <measureGroup name="Append32141" caption="Append32141"/>
    <measureGroup name="Append32142" caption="Append32142"/>
  </measureGroups>
  <maps count="4">
    <map measureGroup="0" dimension="0"/>
    <map measureGroup="1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06.142639699072" backgroundQuery="1" createdVersion="8" refreshedVersion="8" minRefreshableVersion="3" recordCount="0" supportSubquery="1" supportAdvancedDrill="1" xr:uid="{8FC1250C-85C2-4521-A819-4134B1CDCE7C}">
  <cacheSource type="external" connectionId="15"/>
  <cacheFields count="3">
    <cacheField name="[Append32141].[Platform].[Platform]" caption="Platform" numFmtId="0" hierarchy="10" level="1">
      <sharedItems count="6">
        <s v="AMAZON NOW F"/>
        <s v="Platform A"/>
        <s v="Platform B"/>
        <s v="Platform C"/>
        <s v="Platform D"/>
        <s v="Platform E"/>
      </sharedItems>
    </cacheField>
    <cacheField name="[Measures].[Sum of Sales 3]" caption="Sum of Sales 3" numFmtId="0" hierarchy="32" level="32767"/>
    <cacheField name="[Append32141].[Date (Month)].[Date (Month)]" caption="Date (Month)" numFmtId="0" hierarchy="15" level="1">
      <sharedItems count="3">
        <s v="Jun"/>
        <s v="Jul"/>
        <s v="Aug"/>
      </sharedItems>
    </cacheField>
  </cacheFields>
  <cacheHierarchies count="34">
    <cacheHierarchy uniqueName="[Append321].[Platform]" caption="Platform" attribute="1" defaultMemberUniqueName="[Append321].[Platform].[All]" allUniqueName="[Append321].[Platform].[All]" dimensionUniqueName="[Append321]" displayFolder="" count="0" memberValueDatatype="130" unbalanced="0"/>
    <cacheHierarchy uniqueName="[Append321].[SKU]" caption="SKU" attribute="1" defaultMemberUniqueName="[Append321].[SKU].[All]" allUniqueName="[Append321].[SKU].[All]" dimensionUniqueName="[Append321]" displayFolder="" count="0" memberValueDatatype="130" unbalanced="0"/>
    <cacheHierarchy uniqueName="[Append321].[Date]" caption="Date" attribute="1" time="1" defaultMemberUniqueName="[Append321].[Date].[All]" allUniqueName="[Append321].[Date].[All]" dimensionUniqueName="[Append321]" displayFolder="" count="0" memberValueDatatype="7" unbalanced="0"/>
    <cacheHierarchy uniqueName="[Append321].[Sales]" caption="Sales" attribute="1" defaultMemberUniqueName="[Append321].[Sales].[All]" allUniqueName="[Append321].[Sales].[All]" dimensionUniqueName="[Append321]" displayFolder="" count="0" memberValueDatatype="20" unbalanced="0"/>
    <cacheHierarchy uniqueName="[Append321].[Date (Month)]" caption="Date (Month)" attribute="1" defaultMemberUniqueName="[Append321].[Date (Month)].[All]" allUniqueName="[Append321].[Date (Month)].[All]" dimensionUniqueName="[Append321]" displayFolder="" count="0" memberValueDatatype="130" unbalanced="0"/>
    <cacheHierarchy uniqueName="[Append3214].[Platform]" caption="Platform" attribute="1" defaultMemberUniqueName="[Append3214].[Platform].[All]" allUniqueName="[Append3214].[Platform].[All]" dimensionUniqueName="[Append3214]" displayFolder="" count="0" memberValueDatatype="130" unbalanced="0"/>
    <cacheHierarchy uniqueName="[Append3214].[SKU]" caption="SKU" attribute="1" defaultMemberUniqueName="[Append3214].[SKU].[All]" allUniqueName="[Append3214].[SKU].[All]" dimensionUniqueName="[Append3214]" displayFolder="" count="0" memberValueDatatype="130" unbalanced="0"/>
    <cacheHierarchy uniqueName="[Append3214].[Date]" caption="Date" attribute="1" time="1" defaultMemberUniqueName="[Append3214].[Date].[All]" allUniqueName="[Append3214].[Date].[All]" dimensionUniqueName="[Append3214]" displayFolder="" count="0" memberValueDatatype="7" unbalanced="0"/>
    <cacheHierarchy uniqueName="[Append3214].[Sales]" caption="Sales" attribute="1" defaultMemberUniqueName="[Append3214].[Sales].[All]" allUniqueName="[Append3214].[Sales].[All]" dimensionUniqueName="[Append3214]" displayFolder="" count="0" memberValueDatatype="20" unbalanced="0"/>
    <cacheHierarchy uniqueName="[Append3214].[Weeknum]" caption="Weeknum" attribute="1" defaultMemberUniqueName="[Append3214].[Weeknum].[All]" allUniqueName="[Append3214].[Weeknum].[All]" dimensionUniqueName="[Append3214]" displayFolder="" count="0" memberValueDatatype="20" unbalanced="0"/>
    <cacheHierarchy uniqueName="[Append32141].[Platform]" caption="Platform" attribute="1" defaultMemberUniqueName="[Append32141].[Platform].[All]" allUniqueName="[Append32141].[Platform].[All]" dimensionUniqueName="[Append32141]" displayFolder="" count="2" memberValueDatatype="130" unbalanced="0">
      <fieldsUsage count="2">
        <fieldUsage x="-1"/>
        <fieldUsage x="0"/>
      </fieldsUsage>
    </cacheHierarchy>
    <cacheHierarchy uniqueName="[Append32141].[SKU]" caption="SKU" attribute="1" defaultMemberUniqueName="[Append32141].[SKU].[All]" allUniqueName="[Append32141].[SKU].[All]" dimensionUniqueName="[Append32141]" displayFolder="" count="0" memberValueDatatype="130" unbalanced="0"/>
    <cacheHierarchy uniqueName="[Append32141].[Date]" caption="Date" attribute="1" time="1" defaultMemberUniqueName="[Append32141].[Date].[All]" allUniqueName="[Append32141].[Date].[All]" dimensionUniqueName="[Append32141]" displayFolder="" count="0" memberValueDatatype="7" unbalanced="0"/>
    <cacheHierarchy uniqueName="[Append32141].[Sales]" caption="Sales" attribute="1" defaultMemberUniqueName="[Append32141].[Sales].[All]" allUniqueName="[Append32141].[Sales].[All]" dimensionUniqueName="[Append32141]" displayFolder="" count="0" memberValueDatatype="20" unbalanced="0"/>
    <cacheHierarchy uniqueName="[Append32141].[Weeknum]" caption="Weeknum" attribute="1" defaultMemberUniqueName="[Append32141].[Weeknum].[All]" allUniqueName="[Append32141].[Weeknum].[All]" dimensionUniqueName="[Append32141]" displayFolder="" count="0" memberValueDatatype="20" unbalanced="0"/>
    <cacheHierarchy uniqueName="[Append32141].[Date (Month)]" caption="Date (Month)" attribute="1" defaultMemberUniqueName="[Append32141].[Date (Month)].[All]" allUniqueName="[Append32141].[Date (Month)].[All]" dimensionUniqueName="[Append32141]" displayFolder="" count="2" memberValueDatatype="130" unbalanced="0">
      <fieldsUsage count="2">
        <fieldUsage x="-1"/>
        <fieldUsage x="2"/>
      </fieldsUsage>
    </cacheHierarchy>
    <cacheHierarchy uniqueName="[Append32142].[Platform]" caption="Platform" attribute="1" defaultMemberUniqueName="[Append32142].[Platform].[All]" allUniqueName="[Append32142].[Platform].[All]" dimensionUniqueName="[Append32142]" displayFolder="" count="0" memberValueDatatype="130" unbalanced="0"/>
    <cacheHierarchy uniqueName="[Append32142].[SKU]" caption="SKU" attribute="1" defaultMemberUniqueName="[Append32142].[SKU].[All]" allUniqueName="[Append32142].[SKU].[All]" dimensionUniqueName="[Append32142]" displayFolder="" count="0" memberValueDatatype="130" unbalanced="0"/>
    <cacheHierarchy uniqueName="[Append32142].[Date]" caption="Date" attribute="1" time="1" defaultMemberUniqueName="[Append32142].[Date].[All]" allUniqueName="[Append32142].[Date].[All]" dimensionUniqueName="[Append32142]" displayFolder="" count="0" memberValueDatatype="7" unbalanced="0"/>
    <cacheHierarchy uniqueName="[Append32142].[Sales]" caption="Sales" attribute="1" defaultMemberUniqueName="[Append32142].[Sales].[All]" allUniqueName="[Append32142].[Sales].[All]" dimensionUniqueName="[Append32142]" displayFolder="" count="0" memberValueDatatype="20" unbalanced="0"/>
    <cacheHierarchy uniqueName="[Append32142].[Weeknum]" caption="Weeknum" attribute="1" defaultMemberUniqueName="[Append32142].[Weeknum].[All]" allUniqueName="[Append32142].[Weeknum].[All]" dimensionUniqueName="[Append32142]" displayFolder="" count="0" memberValueDatatype="20" unbalanced="0"/>
    <cacheHierarchy uniqueName="[Append32142].[Date (Month)]" caption="Date (Month)" attribute="1" defaultMemberUniqueName="[Append32142].[Date (Month)].[All]" allUniqueName="[Append32142].[Date (Month)].[All]" dimensionUniqueName="[Append32142]" displayFolder="" count="0" memberValueDatatype="130" unbalanced="0"/>
    <cacheHierarchy uniqueName="[Append321].[Date (Month Index)]" caption="Date (Month Index)" attribute="1" defaultMemberUniqueName="[Append321].[Date (Month Index)].[All]" allUniqueName="[Append321].[Date (Month Index)].[All]" dimensionUniqueName="[Append321]" displayFolder="" count="0" memberValueDatatype="20" unbalanced="0" hidden="1"/>
    <cacheHierarchy uniqueName="[Append32141].[Date (Month Index)]" caption="Date (Month Index)" attribute="1" defaultMemberUniqueName="[Append32141].[Date (Month Index)].[All]" allUniqueName="[Append32141].[Date (Month Index)].[All]" dimensionUniqueName="[Append32141]" displayFolder="" count="0" memberValueDatatype="20" unbalanced="0" hidden="1"/>
    <cacheHierarchy uniqueName="[Append32142].[Date (Month Index)]" caption="Date (Month Index)" attribute="1" defaultMemberUniqueName="[Append32142].[Date (Month Index)].[All]" allUniqueName="[Append32142].[Date (Month Index)].[All]" dimensionUniqueName="[Append32142]" displayFolder="" count="0" memberValueDatatype="20" unbalanced="0" hidden="1"/>
    <cacheHierarchy uniqueName="[Measures].[__XL_Count Append321]" caption="__XL_Count Append321" measure="1" displayFolder="" measureGroup="Append321" count="0" hidden="1"/>
    <cacheHierarchy uniqueName="[Measures].[__XL_Count Append3214]" caption="__XL_Count Append3214" measure="1" displayFolder="" measureGroup="Append3214" count="0" hidden="1"/>
    <cacheHierarchy uniqueName="[Measures].[__XL_Count Append32141]" caption="__XL_Count Append32141" measure="1" displayFolder="" measureGroup="Append32141" count="0" hidden="1"/>
    <cacheHierarchy uniqueName="[Measures].[__XL_Count Append32142]" caption="__XL_Count Append32142" measure="1" displayFolder="" measureGroup="Append3214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Append32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Sales 2]" caption="Sum of Sales 2" measure="1" displayFolder="" measureGroup="Append321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es 3]" caption="Sum of Sales 3" measure="1" displayFolder="" measureGroup="Append3214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4]" caption="Sum of Sales 4" measure="1" displayFolder="" measureGroup="Append32142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Append321" uniqueName="[Append321]" caption="Append321"/>
    <dimension name="Append3214" uniqueName="[Append3214]" caption="Append3214"/>
    <dimension name="Append32141" uniqueName="[Append32141]" caption="Append32141"/>
    <dimension name="Append32142" uniqueName="[Append32142]" caption="Append32142"/>
    <dimension measure="1" name="Measures" uniqueName="[Measures]" caption="Measures"/>
  </dimensions>
  <measureGroups count="4">
    <measureGroup name="Append321" caption="Append321"/>
    <measureGroup name="Append3214" caption="Append3214"/>
    <measureGroup name="Append32141" caption="Append32141"/>
    <measureGroup name="Append32142" caption="Append32142"/>
  </measureGroups>
  <maps count="4">
    <map measureGroup="0" dimension="0"/>
    <map measureGroup="1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06.142642013889" backgroundQuery="1" createdVersion="8" refreshedVersion="8" minRefreshableVersion="3" recordCount="0" supportSubquery="1" supportAdvancedDrill="1" xr:uid="{D6943AB4-3A33-43AF-A9E6-065C68AFC226}">
  <cacheSource type="external" connectionId="15"/>
  <cacheFields count="2">
    <cacheField name="[Append321].[Date].[Date]" caption="Date" numFmtId="0" hierarchy="2" level="1">
      <sharedItems containsSemiMixedTypes="0" containsNonDate="0" containsDate="1" containsString="0" minDate="2024-06-01T00:00:00" maxDate="2024-09-01T00:00:00" count="92"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</sharedItems>
    </cacheField>
    <cacheField name="[Measures].[Sum of Sales]" caption="Sum of Sales" numFmtId="0" hierarchy="30" level="32767"/>
  </cacheFields>
  <cacheHierarchies count="34">
    <cacheHierarchy uniqueName="[Append321].[Platform]" caption="Platform" attribute="1" defaultMemberUniqueName="[Append321].[Platform].[All]" allUniqueName="[Append321].[Platform].[All]" dimensionUniqueName="[Append321]" displayFolder="" count="0" memberValueDatatype="130" unbalanced="0"/>
    <cacheHierarchy uniqueName="[Append321].[SKU]" caption="SKU" attribute="1" defaultMemberUniqueName="[Append321].[SKU].[All]" allUniqueName="[Append321].[SKU].[All]" dimensionUniqueName="[Append321]" displayFolder="" count="0" memberValueDatatype="130" unbalanced="0"/>
    <cacheHierarchy uniqueName="[Append321].[Date]" caption="Date" attribute="1" time="1" defaultMemberUniqueName="[Append321].[Date].[All]" allUniqueName="[Append321].[Date].[All]" dimensionUniqueName="[Append321]" displayFolder="" count="2" memberValueDatatype="7" unbalanced="0">
      <fieldsUsage count="2">
        <fieldUsage x="-1"/>
        <fieldUsage x="0"/>
      </fieldsUsage>
    </cacheHierarchy>
    <cacheHierarchy uniqueName="[Append321].[Sales]" caption="Sales" attribute="1" defaultMemberUniqueName="[Append321].[Sales].[All]" allUniqueName="[Append321].[Sales].[All]" dimensionUniqueName="[Append321]" displayFolder="" count="0" memberValueDatatype="20" unbalanced="0"/>
    <cacheHierarchy uniqueName="[Append321].[Date (Month)]" caption="Date (Month)" attribute="1" defaultMemberUniqueName="[Append321].[Date (Month)].[All]" allUniqueName="[Append321].[Date (Month)].[All]" dimensionUniqueName="[Append321]" displayFolder="" count="0" memberValueDatatype="130" unbalanced="0"/>
    <cacheHierarchy uniqueName="[Append3214].[Platform]" caption="Platform" attribute="1" defaultMemberUniqueName="[Append3214].[Platform].[All]" allUniqueName="[Append3214].[Platform].[All]" dimensionUniqueName="[Append3214]" displayFolder="" count="0" memberValueDatatype="130" unbalanced="0"/>
    <cacheHierarchy uniqueName="[Append3214].[SKU]" caption="SKU" attribute="1" defaultMemberUniqueName="[Append3214].[SKU].[All]" allUniqueName="[Append3214].[SKU].[All]" dimensionUniqueName="[Append3214]" displayFolder="" count="0" memberValueDatatype="130" unbalanced="0"/>
    <cacheHierarchy uniqueName="[Append3214].[Date]" caption="Date" attribute="1" time="1" defaultMemberUniqueName="[Append3214].[Date].[All]" allUniqueName="[Append3214].[Date].[All]" dimensionUniqueName="[Append3214]" displayFolder="" count="0" memberValueDatatype="7" unbalanced="0"/>
    <cacheHierarchy uniqueName="[Append3214].[Sales]" caption="Sales" attribute="1" defaultMemberUniqueName="[Append3214].[Sales].[All]" allUniqueName="[Append3214].[Sales].[All]" dimensionUniqueName="[Append3214]" displayFolder="" count="0" memberValueDatatype="20" unbalanced="0"/>
    <cacheHierarchy uniqueName="[Append3214].[Weeknum]" caption="Weeknum" attribute="1" defaultMemberUniqueName="[Append3214].[Weeknum].[All]" allUniqueName="[Append3214].[Weeknum].[All]" dimensionUniqueName="[Append3214]" displayFolder="" count="0" memberValueDatatype="20" unbalanced="0"/>
    <cacheHierarchy uniqueName="[Append32141].[Platform]" caption="Platform" attribute="1" defaultMemberUniqueName="[Append32141].[Platform].[All]" allUniqueName="[Append32141].[Platform].[All]" dimensionUniqueName="[Append32141]" displayFolder="" count="0" memberValueDatatype="130" unbalanced="0"/>
    <cacheHierarchy uniqueName="[Append32141].[SKU]" caption="SKU" attribute="1" defaultMemberUniqueName="[Append32141].[SKU].[All]" allUniqueName="[Append32141].[SKU].[All]" dimensionUniqueName="[Append32141]" displayFolder="" count="0" memberValueDatatype="130" unbalanced="0"/>
    <cacheHierarchy uniqueName="[Append32141].[Date]" caption="Date" attribute="1" time="1" defaultMemberUniqueName="[Append32141].[Date].[All]" allUniqueName="[Append32141].[Date].[All]" dimensionUniqueName="[Append32141]" displayFolder="" count="0" memberValueDatatype="7" unbalanced="0"/>
    <cacheHierarchy uniqueName="[Append32141].[Sales]" caption="Sales" attribute="1" defaultMemberUniqueName="[Append32141].[Sales].[All]" allUniqueName="[Append32141].[Sales].[All]" dimensionUniqueName="[Append32141]" displayFolder="" count="0" memberValueDatatype="20" unbalanced="0"/>
    <cacheHierarchy uniqueName="[Append32141].[Weeknum]" caption="Weeknum" attribute="1" defaultMemberUniqueName="[Append32141].[Weeknum].[All]" allUniqueName="[Append32141].[Weeknum].[All]" dimensionUniqueName="[Append32141]" displayFolder="" count="0" memberValueDatatype="20" unbalanced="0"/>
    <cacheHierarchy uniqueName="[Append32141].[Date (Month)]" caption="Date (Month)" attribute="1" defaultMemberUniqueName="[Append32141].[Date (Month)].[All]" allUniqueName="[Append32141].[Date (Month)].[All]" dimensionUniqueName="[Append32141]" displayFolder="" count="0" memberValueDatatype="130" unbalanced="0"/>
    <cacheHierarchy uniqueName="[Append32142].[Platform]" caption="Platform" attribute="1" defaultMemberUniqueName="[Append32142].[Platform].[All]" allUniqueName="[Append32142].[Platform].[All]" dimensionUniqueName="[Append32142]" displayFolder="" count="0" memberValueDatatype="130" unbalanced="0"/>
    <cacheHierarchy uniqueName="[Append32142].[SKU]" caption="SKU" attribute="1" defaultMemberUniqueName="[Append32142].[SKU].[All]" allUniqueName="[Append32142].[SKU].[All]" dimensionUniqueName="[Append32142]" displayFolder="" count="0" memberValueDatatype="130" unbalanced="0"/>
    <cacheHierarchy uniqueName="[Append32142].[Date]" caption="Date" attribute="1" time="1" defaultMemberUniqueName="[Append32142].[Date].[All]" allUniqueName="[Append32142].[Date].[All]" dimensionUniqueName="[Append32142]" displayFolder="" count="0" memberValueDatatype="7" unbalanced="0"/>
    <cacheHierarchy uniqueName="[Append32142].[Sales]" caption="Sales" attribute="1" defaultMemberUniqueName="[Append32142].[Sales].[All]" allUniqueName="[Append32142].[Sales].[All]" dimensionUniqueName="[Append32142]" displayFolder="" count="0" memberValueDatatype="20" unbalanced="0"/>
    <cacheHierarchy uniqueName="[Append32142].[Weeknum]" caption="Weeknum" attribute="1" defaultMemberUniqueName="[Append32142].[Weeknum].[All]" allUniqueName="[Append32142].[Weeknum].[All]" dimensionUniqueName="[Append32142]" displayFolder="" count="0" memberValueDatatype="20" unbalanced="0"/>
    <cacheHierarchy uniqueName="[Append32142].[Date (Month)]" caption="Date (Month)" attribute="1" defaultMemberUniqueName="[Append32142].[Date (Month)].[All]" allUniqueName="[Append32142].[Date (Month)].[All]" dimensionUniqueName="[Append32142]" displayFolder="" count="0" memberValueDatatype="130" unbalanced="0"/>
    <cacheHierarchy uniqueName="[Append321].[Date (Month Index)]" caption="Date (Month Index)" attribute="1" defaultMemberUniqueName="[Append321].[Date (Month Index)].[All]" allUniqueName="[Append321].[Date (Month Index)].[All]" dimensionUniqueName="[Append321]" displayFolder="" count="0" memberValueDatatype="20" unbalanced="0" hidden="1"/>
    <cacheHierarchy uniqueName="[Append32141].[Date (Month Index)]" caption="Date (Month Index)" attribute="1" defaultMemberUniqueName="[Append32141].[Date (Month Index)].[All]" allUniqueName="[Append32141].[Date (Month Index)].[All]" dimensionUniqueName="[Append32141]" displayFolder="" count="0" memberValueDatatype="20" unbalanced="0" hidden="1"/>
    <cacheHierarchy uniqueName="[Append32142].[Date (Month Index)]" caption="Date (Month Index)" attribute="1" defaultMemberUniqueName="[Append32142].[Date (Month Index)].[All]" allUniqueName="[Append32142].[Date (Month Index)].[All]" dimensionUniqueName="[Append32142]" displayFolder="" count="0" memberValueDatatype="20" unbalanced="0" hidden="1"/>
    <cacheHierarchy uniqueName="[Measures].[__XL_Count Append321]" caption="__XL_Count Append321" measure="1" displayFolder="" measureGroup="Append321" count="0" hidden="1"/>
    <cacheHierarchy uniqueName="[Measures].[__XL_Count Append3214]" caption="__XL_Count Append3214" measure="1" displayFolder="" measureGroup="Append3214" count="0" hidden="1"/>
    <cacheHierarchy uniqueName="[Measures].[__XL_Count Append32141]" caption="__XL_Count Append32141" measure="1" displayFolder="" measureGroup="Append32141" count="0" hidden="1"/>
    <cacheHierarchy uniqueName="[Measures].[__XL_Count Append32142]" caption="__XL_Count Append32142" measure="1" displayFolder="" measureGroup="Append3214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Append32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Sales 2]" caption="Sum of Sales 2" measure="1" displayFolder="" measureGroup="Append321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es 3]" caption="Sum of Sales 3" measure="1" displayFolder="" measureGroup="Append3214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4]" caption="Sum of Sales 4" measure="1" displayFolder="" measureGroup="Append32142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Append321" uniqueName="[Append321]" caption="Append321"/>
    <dimension name="Append3214" uniqueName="[Append3214]" caption="Append3214"/>
    <dimension name="Append32141" uniqueName="[Append32141]" caption="Append32141"/>
    <dimension name="Append32142" uniqueName="[Append32142]" caption="Append32142"/>
    <dimension measure="1" name="Measures" uniqueName="[Measures]" caption="Measures"/>
  </dimensions>
  <measureGroups count="4">
    <measureGroup name="Append321" caption="Append321"/>
    <measureGroup name="Append3214" caption="Append3214"/>
    <measureGroup name="Append32141" caption="Append32141"/>
    <measureGroup name="Append32142" caption="Append32142"/>
  </measureGroups>
  <maps count="4">
    <map measureGroup="0" dimension="0"/>
    <map measureGroup="1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06.142643981482" backgroundQuery="1" createdVersion="8" refreshedVersion="8" minRefreshableVersion="3" recordCount="0" supportSubquery="1" supportAdvancedDrill="1" xr:uid="{17CF7E5E-F7C3-407B-AC9B-8BE4ABF42FC7}">
  <cacheSource type="external" connectionId="15"/>
  <cacheFields count="2">
    <cacheField name="[Measures].[Sum of Sales]" caption="Sum of Sales" numFmtId="0" hierarchy="30" level="32767"/>
    <cacheField name="[Append321].[Platform].[Platform]" caption="Platform" numFmtId="0" level="1">
      <sharedItems count="6">
        <s v="AMAZON NOW F"/>
        <s v="Platform A"/>
        <s v="Platform B"/>
        <s v="Platform C"/>
        <s v="Platform D"/>
        <s v="Platform E"/>
      </sharedItems>
    </cacheField>
  </cacheFields>
  <cacheHierarchies count="34">
    <cacheHierarchy uniqueName="[Append321].[Platform]" caption="Platform" attribute="1" defaultMemberUniqueName="[Append321].[Platform].[All]" allUniqueName="[Append321].[Platform].[All]" dimensionUniqueName="[Append321]" displayFolder="" count="2" memberValueDatatype="130" unbalanced="0">
      <fieldsUsage count="2">
        <fieldUsage x="-1"/>
        <fieldUsage x="1"/>
      </fieldsUsage>
    </cacheHierarchy>
    <cacheHierarchy uniqueName="[Append321].[SKU]" caption="SKU" attribute="1" defaultMemberUniqueName="[Append321].[SKU].[All]" allUniqueName="[Append321].[SKU].[All]" dimensionUniqueName="[Append321]" displayFolder="" count="0" memberValueDatatype="130" unbalanced="0"/>
    <cacheHierarchy uniqueName="[Append321].[Date]" caption="Date" attribute="1" time="1" defaultMemberUniqueName="[Append321].[Date].[All]" allUniqueName="[Append321].[Date].[All]" dimensionUniqueName="[Append321]" displayFolder="" count="0" memberValueDatatype="7" unbalanced="0"/>
    <cacheHierarchy uniqueName="[Append321].[Sales]" caption="Sales" attribute="1" defaultMemberUniqueName="[Append321].[Sales].[All]" allUniqueName="[Append321].[Sales].[All]" dimensionUniqueName="[Append321]" displayFolder="" count="0" memberValueDatatype="20" unbalanced="0"/>
    <cacheHierarchy uniqueName="[Append321].[Date (Month)]" caption="Date (Month)" attribute="1" defaultMemberUniqueName="[Append321].[Date (Month)].[All]" allUniqueName="[Append321].[Date (Month)].[All]" dimensionUniqueName="[Append321]" displayFolder="" count="0" memberValueDatatype="130" unbalanced="0"/>
    <cacheHierarchy uniqueName="[Append3214].[Platform]" caption="Platform" attribute="1" defaultMemberUniqueName="[Append3214].[Platform].[All]" allUniqueName="[Append3214].[Platform].[All]" dimensionUniqueName="[Append3214]" displayFolder="" count="0" memberValueDatatype="130" unbalanced="0"/>
    <cacheHierarchy uniqueName="[Append3214].[SKU]" caption="SKU" attribute="1" defaultMemberUniqueName="[Append3214].[SKU].[All]" allUniqueName="[Append3214].[SKU].[All]" dimensionUniqueName="[Append3214]" displayFolder="" count="0" memberValueDatatype="130" unbalanced="0"/>
    <cacheHierarchy uniqueName="[Append3214].[Date]" caption="Date" attribute="1" time="1" defaultMemberUniqueName="[Append3214].[Date].[All]" allUniqueName="[Append3214].[Date].[All]" dimensionUniqueName="[Append3214]" displayFolder="" count="0" memberValueDatatype="7" unbalanced="0"/>
    <cacheHierarchy uniqueName="[Append3214].[Sales]" caption="Sales" attribute="1" defaultMemberUniqueName="[Append3214].[Sales].[All]" allUniqueName="[Append3214].[Sales].[All]" dimensionUniqueName="[Append3214]" displayFolder="" count="0" memberValueDatatype="20" unbalanced="0"/>
    <cacheHierarchy uniqueName="[Append3214].[Weeknum]" caption="Weeknum" attribute="1" defaultMemberUniqueName="[Append3214].[Weeknum].[All]" allUniqueName="[Append3214].[Weeknum].[All]" dimensionUniqueName="[Append3214]" displayFolder="" count="0" memberValueDatatype="20" unbalanced="0"/>
    <cacheHierarchy uniqueName="[Append32141].[Platform]" caption="Platform" attribute="1" defaultMemberUniqueName="[Append32141].[Platform].[All]" allUniqueName="[Append32141].[Platform].[All]" dimensionUniqueName="[Append32141]" displayFolder="" count="0" memberValueDatatype="130" unbalanced="0"/>
    <cacheHierarchy uniqueName="[Append32141].[SKU]" caption="SKU" attribute="1" defaultMemberUniqueName="[Append32141].[SKU].[All]" allUniqueName="[Append32141].[SKU].[All]" dimensionUniqueName="[Append32141]" displayFolder="" count="0" memberValueDatatype="130" unbalanced="0"/>
    <cacheHierarchy uniqueName="[Append32141].[Date]" caption="Date" attribute="1" time="1" defaultMemberUniqueName="[Append32141].[Date].[All]" allUniqueName="[Append32141].[Date].[All]" dimensionUniqueName="[Append32141]" displayFolder="" count="0" memberValueDatatype="7" unbalanced="0"/>
    <cacheHierarchy uniqueName="[Append32141].[Sales]" caption="Sales" attribute="1" defaultMemberUniqueName="[Append32141].[Sales].[All]" allUniqueName="[Append32141].[Sales].[All]" dimensionUniqueName="[Append32141]" displayFolder="" count="0" memberValueDatatype="20" unbalanced="0"/>
    <cacheHierarchy uniqueName="[Append32141].[Weeknum]" caption="Weeknum" attribute="1" defaultMemberUniqueName="[Append32141].[Weeknum].[All]" allUniqueName="[Append32141].[Weeknum].[All]" dimensionUniqueName="[Append32141]" displayFolder="" count="0" memberValueDatatype="20" unbalanced="0"/>
    <cacheHierarchy uniqueName="[Append32141].[Date (Month)]" caption="Date (Month)" attribute="1" defaultMemberUniqueName="[Append32141].[Date (Month)].[All]" allUniqueName="[Append32141].[Date (Month)].[All]" dimensionUniqueName="[Append32141]" displayFolder="" count="0" memberValueDatatype="130" unbalanced="0"/>
    <cacheHierarchy uniqueName="[Append32142].[Platform]" caption="Platform" attribute="1" defaultMemberUniqueName="[Append32142].[Platform].[All]" allUniqueName="[Append32142].[Platform].[All]" dimensionUniqueName="[Append32142]" displayFolder="" count="0" memberValueDatatype="130" unbalanced="0"/>
    <cacheHierarchy uniqueName="[Append32142].[SKU]" caption="SKU" attribute="1" defaultMemberUniqueName="[Append32142].[SKU].[All]" allUniqueName="[Append32142].[SKU].[All]" dimensionUniqueName="[Append32142]" displayFolder="" count="0" memberValueDatatype="130" unbalanced="0"/>
    <cacheHierarchy uniqueName="[Append32142].[Date]" caption="Date" attribute="1" time="1" defaultMemberUniqueName="[Append32142].[Date].[All]" allUniqueName="[Append32142].[Date].[All]" dimensionUniqueName="[Append32142]" displayFolder="" count="0" memberValueDatatype="7" unbalanced="0"/>
    <cacheHierarchy uniqueName="[Append32142].[Sales]" caption="Sales" attribute="1" defaultMemberUniqueName="[Append32142].[Sales].[All]" allUniqueName="[Append32142].[Sales].[All]" dimensionUniqueName="[Append32142]" displayFolder="" count="0" memberValueDatatype="20" unbalanced="0"/>
    <cacheHierarchy uniqueName="[Append32142].[Weeknum]" caption="Weeknum" attribute="1" defaultMemberUniqueName="[Append32142].[Weeknum].[All]" allUniqueName="[Append32142].[Weeknum].[All]" dimensionUniqueName="[Append32142]" displayFolder="" count="0" memberValueDatatype="20" unbalanced="0"/>
    <cacheHierarchy uniqueName="[Append32142].[Date (Month)]" caption="Date (Month)" attribute="1" defaultMemberUniqueName="[Append32142].[Date (Month)].[All]" allUniqueName="[Append32142].[Date (Month)].[All]" dimensionUniqueName="[Append32142]" displayFolder="" count="0" memberValueDatatype="130" unbalanced="0"/>
    <cacheHierarchy uniqueName="[Append321].[Date (Month Index)]" caption="Date (Month Index)" attribute="1" defaultMemberUniqueName="[Append321].[Date (Month Index)].[All]" allUniqueName="[Append321].[Date (Month Index)].[All]" dimensionUniqueName="[Append321]" displayFolder="" count="0" memberValueDatatype="20" unbalanced="0" hidden="1"/>
    <cacheHierarchy uniqueName="[Append32141].[Date (Month Index)]" caption="Date (Month Index)" attribute="1" defaultMemberUniqueName="[Append32141].[Date (Month Index)].[All]" allUniqueName="[Append32141].[Date (Month Index)].[All]" dimensionUniqueName="[Append32141]" displayFolder="" count="0" memberValueDatatype="20" unbalanced="0" hidden="1"/>
    <cacheHierarchy uniqueName="[Append32142].[Date (Month Index)]" caption="Date (Month Index)" attribute="1" defaultMemberUniqueName="[Append32142].[Date (Month Index)].[All]" allUniqueName="[Append32142].[Date (Month Index)].[All]" dimensionUniqueName="[Append32142]" displayFolder="" count="0" memberValueDatatype="20" unbalanced="0" hidden="1"/>
    <cacheHierarchy uniqueName="[Measures].[__XL_Count Append321]" caption="__XL_Count Append321" measure="1" displayFolder="" measureGroup="Append321" count="0" hidden="1"/>
    <cacheHierarchy uniqueName="[Measures].[__XL_Count Append3214]" caption="__XL_Count Append3214" measure="1" displayFolder="" measureGroup="Append3214" count="0" hidden="1"/>
    <cacheHierarchy uniqueName="[Measures].[__XL_Count Append32141]" caption="__XL_Count Append32141" measure="1" displayFolder="" measureGroup="Append32141" count="0" hidden="1"/>
    <cacheHierarchy uniqueName="[Measures].[__XL_Count Append32142]" caption="__XL_Count Append32142" measure="1" displayFolder="" measureGroup="Append3214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Append32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Sales 2]" caption="Sum of Sales 2" measure="1" displayFolder="" measureGroup="Append321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es 3]" caption="Sum of Sales 3" measure="1" displayFolder="" measureGroup="Append3214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4]" caption="Sum of Sales 4" measure="1" displayFolder="" measureGroup="Append32142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Append321" uniqueName="[Append321]" caption="Append321"/>
    <dimension name="Append3214" uniqueName="[Append3214]" caption="Append3214"/>
    <dimension name="Append32141" uniqueName="[Append32141]" caption="Append32141"/>
    <dimension name="Append32142" uniqueName="[Append32142]" caption="Append32142"/>
    <dimension measure="1" name="Measures" uniqueName="[Measures]" caption="Measures"/>
  </dimensions>
  <measureGroups count="4">
    <measureGroup name="Append321" caption="Append321"/>
    <measureGroup name="Append3214" caption="Append3214"/>
    <measureGroup name="Append32141" caption="Append32141"/>
    <measureGroup name="Append32142" caption="Append32142"/>
  </measureGroups>
  <maps count="4">
    <map measureGroup="0" dimension="0"/>
    <map measureGroup="1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06.142645949076" backgroundQuery="1" createdVersion="8" refreshedVersion="8" minRefreshableVersion="3" recordCount="0" supportSubquery="1" supportAdvancedDrill="1" xr:uid="{D6A0F8D7-7E9A-45AC-9FB2-05E9F139B5E0}">
  <cacheSource type="external" connectionId="15"/>
  <cacheFields count="2">
    <cacheField name="[Measures].[Sum of Sales]" caption="Sum of Sales" numFmtId="0" hierarchy="30" level="32767"/>
    <cacheField name="[Append321].[SKU].[SKU]" caption="SKU" numFmtId="0" hierarchy="1" level="1">
      <sharedItems count="10">
        <s v="SKU - 3 B"/>
        <s v="SKU 1 - a"/>
        <s v="SKU 1 - b"/>
        <s v="SKU 1 - c"/>
        <s v="SKU 1 - f"/>
        <s v="SKU 1 - h"/>
        <s v="SKU 2 - a"/>
        <s v="SKU 2 - B"/>
        <s v="SKU 2 - C"/>
        <s v="SKU 2 - D"/>
      </sharedItems>
    </cacheField>
  </cacheFields>
  <cacheHierarchies count="34">
    <cacheHierarchy uniqueName="[Append321].[Platform]" caption="Platform" attribute="1" defaultMemberUniqueName="[Append321].[Platform].[All]" allUniqueName="[Append321].[Platform].[All]" dimensionUniqueName="[Append321]" displayFolder="" count="0" memberValueDatatype="130" unbalanced="0"/>
    <cacheHierarchy uniqueName="[Append321].[SKU]" caption="SKU" attribute="1" defaultMemberUniqueName="[Append321].[SKU].[All]" allUniqueName="[Append321].[SKU].[All]" dimensionUniqueName="[Append321]" displayFolder="" count="2" memberValueDatatype="130" unbalanced="0">
      <fieldsUsage count="2">
        <fieldUsage x="-1"/>
        <fieldUsage x="1"/>
      </fieldsUsage>
    </cacheHierarchy>
    <cacheHierarchy uniqueName="[Append321].[Date]" caption="Date" attribute="1" time="1" defaultMemberUniqueName="[Append321].[Date].[All]" allUniqueName="[Append321].[Date].[All]" dimensionUniqueName="[Append321]" displayFolder="" count="0" memberValueDatatype="7" unbalanced="0"/>
    <cacheHierarchy uniqueName="[Append321].[Sales]" caption="Sales" attribute="1" defaultMemberUniqueName="[Append321].[Sales].[All]" allUniqueName="[Append321].[Sales].[All]" dimensionUniqueName="[Append321]" displayFolder="" count="0" memberValueDatatype="20" unbalanced="0"/>
    <cacheHierarchy uniqueName="[Append321].[Date (Month)]" caption="Date (Month)" attribute="1" defaultMemberUniqueName="[Append321].[Date (Month)].[All]" allUniqueName="[Append321].[Date (Month)].[All]" dimensionUniqueName="[Append321]" displayFolder="" count="0" memberValueDatatype="130" unbalanced="0"/>
    <cacheHierarchy uniqueName="[Append3214].[Platform]" caption="Platform" attribute="1" defaultMemberUniqueName="[Append3214].[Platform].[All]" allUniqueName="[Append3214].[Platform].[All]" dimensionUniqueName="[Append3214]" displayFolder="" count="0" memberValueDatatype="130" unbalanced="0"/>
    <cacheHierarchy uniqueName="[Append3214].[SKU]" caption="SKU" attribute="1" defaultMemberUniqueName="[Append3214].[SKU].[All]" allUniqueName="[Append3214].[SKU].[All]" dimensionUniqueName="[Append3214]" displayFolder="" count="0" memberValueDatatype="130" unbalanced="0"/>
    <cacheHierarchy uniqueName="[Append3214].[Date]" caption="Date" attribute="1" time="1" defaultMemberUniqueName="[Append3214].[Date].[All]" allUniqueName="[Append3214].[Date].[All]" dimensionUniqueName="[Append3214]" displayFolder="" count="0" memberValueDatatype="7" unbalanced="0"/>
    <cacheHierarchy uniqueName="[Append3214].[Sales]" caption="Sales" attribute="1" defaultMemberUniqueName="[Append3214].[Sales].[All]" allUniqueName="[Append3214].[Sales].[All]" dimensionUniqueName="[Append3214]" displayFolder="" count="0" memberValueDatatype="20" unbalanced="0"/>
    <cacheHierarchy uniqueName="[Append3214].[Weeknum]" caption="Weeknum" attribute="1" defaultMemberUniqueName="[Append3214].[Weeknum].[All]" allUniqueName="[Append3214].[Weeknum].[All]" dimensionUniqueName="[Append3214]" displayFolder="" count="0" memberValueDatatype="20" unbalanced="0"/>
    <cacheHierarchy uniqueName="[Append32141].[Platform]" caption="Platform" attribute="1" defaultMemberUniqueName="[Append32141].[Platform].[All]" allUniqueName="[Append32141].[Platform].[All]" dimensionUniqueName="[Append32141]" displayFolder="" count="0" memberValueDatatype="130" unbalanced="0"/>
    <cacheHierarchy uniqueName="[Append32141].[SKU]" caption="SKU" attribute="1" defaultMemberUniqueName="[Append32141].[SKU].[All]" allUniqueName="[Append32141].[SKU].[All]" dimensionUniqueName="[Append32141]" displayFolder="" count="0" memberValueDatatype="130" unbalanced="0"/>
    <cacheHierarchy uniqueName="[Append32141].[Date]" caption="Date" attribute="1" time="1" defaultMemberUniqueName="[Append32141].[Date].[All]" allUniqueName="[Append32141].[Date].[All]" dimensionUniqueName="[Append32141]" displayFolder="" count="0" memberValueDatatype="7" unbalanced="0"/>
    <cacheHierarchy uniqueName="[Append32141].[Sales]" caption="Sales" attribute="1" defaultMemberUniqueName="[Append32141].[Sales].[All]" allUniqueName="[Append32141].[Sales].[All]" dimensionUniqueName="[Append32141]" displayFolder="" count="0" memberValueDatatype="20" unbalanced="0"/>
    <cacheHierarchy uniqueName="[Append32141].[Weeknum]" caption="Weeknum" attribute="1" defaultMemberUniqueName="[Append32141].[Weeknum].[All]" allUniqueName="[Append32141].[Weeknum].[All]" dimensionUniqueName="[Append32141]" displayFolder="" count="0" memberValueDatatype="20" unbalanced="0"/>
    <cacheHierarchy uniqueName="[Append32141].[Date (Month)]" caption="Date (Month)" attribute="1" defaultMemberUniqueName="[Append32141].[Date (Month)].[All]" allUniqueName="[Append32141].[Date (Month)].[All]" dimensionUniqueName="[Append32141]" displayFolder="" count="0" memberValueDatatype="130" unbalanced="0"/>
    <cacheHierarchy uniqueName="[Append32142].[Platform]" caption="Platform" attribute="1" defaultMemberUniqueName="[Append32142].[Platform].[All]" allUniqueName="[Append32142].[Platform].[All]" dimensionUniqueName="[Append32142]" displayFolder="" count="0" memberValueDatatype="130" unbalanced="0"/>
    <cacheHierarchy uniqueName="[Append32142].[SKU]" caption="SKU" attribute="1" defaultMemberUniqueName="[Append32142].[SKU].[All]" allUniqueName="[Append32142].[SKU].[All]" dimensionUniqueName="[Append32142]" displayFolder="" count="0" memberValueDatatype="130" unbalanced="0"/>
    <cacheHierarchy uniqueName="[Append32142].[Date]" caption="Date" attribute="1" time="1" defaultMemberUniqueName="[Append32142].[Date].[All]" allUniqueName="[Append32142].[Date].[All]" dimensionUniqueName="[Append32142]" displayFolder="" count="0" memberValueDatatype="7" unbalanced="0"/>
    <cacheHierarchy uniqueName="[Append32142].[Sales]" caption="Sales" attribute="1" defaultMemberUniqueName="[Append32142].[Sales].[All]" allUniqueName="[Append32142].[Sales].[All]" dimensionUniqueName="[Append32142]" displayFolder="" count="0" memberValueDatatype="20" unbalanced="0"/>
    <cacheHierarchy uniqueName="[Append32142].[Weeknum]" caption="Weeknum" attribute="1" defaultMemberUniqueName="[Append32142].[Weeknum].[All]" allUniqueName="[Append32142].[Weeknum].[All]" dimensionUniqueName="[Append32142]" displayFolder="" count="0" memberValueDatatype="20" unbalanced="0"/>
    <cacheHierarchy uniqueName="[Append32142].[Date (Month)]" caption="Date (Month)" attribute="1" defaultMemberUniqueName="[Append32142].[Date (Month)].[All]" allUniqueName="[Append32142].[Date (Month)].[All]" dimensionUniqueName="[Append32142]" displayFolder="" count="0" memberValueDatatype="130" unbalanced="0"/>
    <cacheHierarchy uniqueName="[Append321].[Date (Month Index)]" caption="Date (Month Index)" attribute="1" defaultMemberUniqueName="[Append321].[Date (Month Index)].[All]" allUniqueName="[Append321].[Date (Month Index)].[All]" dimensionUniqueName="[Append321]" displayFolder="" count="0" memberValueDatatype="20" unbalanced="0" hidden="1"/>
    <cacheHierarchy uniqueName="[Append32141].[Date (Month Index)]" caption="Date (Month Index)" attribute="1" defaultMemberUniqueName="[Append32141].[Date (Month Index)].[All]" allUniqueName="[Append32141].[Date (Month Index)].[All]" dimensionUniqueName="[Append32141]" displayFolder="" count="0" memberValueDatatype="20" unbalanced="0" hidden="1"/>
    <cacheHierarchy uniqueName="[Append32142].[Date (Month Index)]" caption="Date (Month Index)" attribute="1" defaultMemberUniqueName="[Append32142].[Date (Month Index)].[All]" allUniqueName="[Append32142].[Date (Month Index)].[All]" dimensionUniqueName="[Append32142]" displayFolder="" count="0" memberValueDatatype="20" unbalanced="0" hidden="1"/>
    <cacheHierarchy uniqueName="[Measures].[__XL_Count Append321]" caption="__XL_Count Append321" measure="1" displayFolder="" measureGroup="Append321" count="0" hidden="1"/>
    <cacheHierarchy uniqueName="[Measures].[__XL_Count Append3214]" caption="__XL_Count Append3214" measure="1" displayFolder="" measureGroup="Append3214" count="0" hidden="1"/>
    <cacheHierarchy uniqueName="[Measures].[__XL_Count Append32141]" caption="__XL_Count Append32141" measure="1" displayFolder="" measureGroup="Append32141" count="0" hidden="1"/>
    <cacheHierarchy uniqueName="[Measures].[__XL_Count Append32142]" caption="__XL_Count Append32142" measure="1" displayFolder="" measureGroup="Append3214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Append32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Sales 2]" caption="Sum of Sales 2" measure="1" displayFolder="" measureGroup="Append321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es 3]" caption="Sum of Sales 3" measure="1" displayFolder="" measureGroup="Append3214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4]" caption="Sum of Sales 4" measure="1" displayFolder="" measureGroup="Append32142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Append321" uniqueName="[Append321]" caption="Append321"/>
    <dimension name="Append3214" uniqueName="[Append3214]" caption="Append3214"/>
    <dimension name="Append32141" uniqueName="[Append32141]" caption="Append32141"/>
    <dimension name="Append32142" uniqueName="[Append32142]" caption="Append32142"/>
    <dimension measure="1" name="Measures" uniqueName="[Measures]" caption="Measures"/>
  </dimensions>
  <measureGroups count="4">
    <measureGroup name="Append321" caption="Append321"/>
    <measureGroup name="Append3214" caption="Append3214"/>
    <measureGroup name="Append32141" caption="Append32141"/>
    <measureGroup name="Append32142" caption="Append32142"/>
  </measureGroups>
  <maps count="4">
    <map measureGroup="0" dimension="0"/>
    <map measureGroup="1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06.142648032408" backgroundQuery="1" createdVersion="8" refreshedVersion="8" minRefreshableVersion="3" recordCount="0" supportSubquery="1" supportAdvancedDrill="1" xr:uid="{1A9EBA32-DE69-4632-A6B7-FE2B43773FAE}">
  <cacheSource type="external" connectionId="15"/>
  <cacheFields count="3">
    <cacheField name="[Measures].[Sum of Sales]" caption="Sum of Sales" numFmtId="0" hierarchy="30" level="32767"/>
    <cacheField name="[Append321].[SKU].[SKU]" caption="SKU" numFmtId="0" hierarchy="1" level="1">
      <sharedItems count="10">
        <s v="SKU - 3 B"/>
        <s v="SKU 1 - a"/>
        <s v="SKU 1 - b"/>
        <s v="SKU 1 - c"/>
        <s v="SKU 1 - f"/>
        <s v="SKU 1 - h"/>
        <s v="SKU 2 - a"/>
        <s v="SKU 2 - B"/>
        <s v="SKU 2 - C"/>
        <s v="SKU 2 - D"/>
      </sharedItems>
    </cacheField>
    <cacheField name="[Append321].[Date (Month)].[Date (Month)]" caption="Date (Month)" numFmtId="0" hierarchy="4" level="1">
      <sharedItems count="3">
        <s v="Jun"/>
        <s v="Jul"/>
        <s v="Aug"/>
      </sharedItems>
    </cacheField>
  </cacheFields>
  <cacheHierarchies count="34">
    <cacheHierarchy uniqueName="[Append321].[Platform]" caption="Platform" attribute="1" defaultMemberUniqueName="[Append321].[Platform].[All]" allUniqueName="[Append321].[Platform].[All]" dimensionUniqueName="[Append321]" displayFolder="" count="0" memberValueDatatype="130" unbalanced="0"/>
    <cacheHierarchy uniqueName="[Append321].[SKU]" caption="SKU" attribute="1" defaultMemberUniqueName="[Append321].[SKU].[All]" allUniqueName="[Append321].[SKU].[All]" dimensionUniqueName="[Append321]" displayFolder="" count="2" memberValueDatatype="130" unbalanced="0">
      <fieldsUsage count="2">
        <fieldUsage x="-1"/>
        <fieldUsage x="1"/>
      </fieldsUsage>
    </cacheHierarchy>
    <cacheHierarchy uniqueName="[Append321].[Date]" caption="Date" attribute="1" time="1" defaultMemberUniqueName="[Append321].[Date].[All]" allUniqueName="[Append321].[Date].[All]" dimensionUniqueName="[Append321]" displayFolder="" count="0" memberValueDatatype="7" unbalanced="0"/>
    <cacheHierarchy uniqueName="[Append321].[Sales]" caption="Sales" attribute="1" defaultMemberUniqueName="[Append321].[Sales].[All]" allUniqueName="[Append321].[Sales].[All]" dimensionUniqueName="[Append321]" displayFolder="" count="0" memberValueDatatype="20" unbalanced="0"/>
    <cacheHierarchy uniqueName="[Append321].[Date (Month)]" caption="Date (Month)" attribute="1" defaultMemberUniqueName="[Append321].[Date (Month)].[All]" allUniqueName="[Append321].[Date (Month)].[All]" dimensionUniqueName="[Append321]" displayFolder="" count="2" memberValueDatatype="130" unbalanced="0">
      <fieldsUsage count="2">
        <fieldUsage x="-1"/>
        <fieldUsage x="2"/>
      </fieldsUsage>
    </cacheHierarchy>
    <cacheHierarchy uniqueName="[Append3214].[Platform]" caption="Platform" attribute="1" defaultMemberUniqueName="[Append3214].[Platform].[All]" allUniqueName="[Append3214].[Platform].[All]" dimensionUniqueName="[Append3214]" displayFolder="" count="0" memberValueDatatype="130" unbalanced="0"/>
    <cacheHierarchy uniqueName="[Append3214].[SKU]" caption="SKU" attribute="1" defaultMemberUniqueName="[Append3214].[SKU].[All]" allUniqueName="[Append3214].[SKU].[All]" dimensionUniqueName="[Append3214]" displayFolder="" count="0" memberValueDatatype="130" unbalanced="0"/>
    <cacheHierarchy uniqueName="[Append3214].[Date]" caption="Date" attribute="1" time="1" defaultMemberUniqueName="[Append3214].[Date].[All]" allUniqueName="[Append3214].[Date].[All]" dimensionUniqueName="[Append3214]" displayFolder="" count="0" memberValueDatatype="7" unbalanced="0"/>
    <cacheHierarchy uniqueName="[Append3214].[Sales]" caption="Sales" attribute="1" defaultMemberUniqueName="[Append3214].[Sales].[All]" allUniqueName="[Append3214].[Sales].[All]" dimensionUniqueName="[Append3214]" displayFolder="" count="0" memberValueDatatype="20" unbalanced="0"/>
    <cacheHierarchy uniqueName="[Append3214].[Weeknum]" caption="Weeknum" attribute="1" defaultMemberUniqueName="[Append3214].[Weeknum].[All]" allUniqueName="[Append3214].[Weeknum].[All]" dimensionUniqueName="[Append3214]" displayFolder="" count="0" memberValueDatatype="20" unbalanced="0"/>
    <cacheHierarchy uniqueName="[Append32141].[Platform]" caption="Platform" attribute="1" defaultMemberUniqueName="[Append32141].[Platform].[All]" allUniqueName="[Append32141].[Platform].[All]" dimensionUniqueName="[Append32141]" displayFolder="" count="0" memberValueDatatype="130" unbalanced="0"/>
    <cacheHierarchy uniqueName="[Append32141].[SKU]" caption="SKU" attribute="1" defaultMemberUniqueName="[Append32141].[SKU].[All]" allUniqueName="[Append32141].[SKU].[All]" dimensionUniqueName="[Append32141]" displayFolder="" count="0" memberValueDatatype="130" unbalanced="0"/>
    <cacheHierarchy uniqueName="[Append32141].[Date]" caption="Date" attribute="1" time="1" defaultMemberUniqueName="[Append32141].[Date].[All]" allUniqueName="[Append32141].[Date].[All]" dimensionUniqueName="[Append32141]" displayFolder="" count="0" memberValueDatatype="7" unbalanced="0"/>
    <cacheHierarchy uniqueName="[Append32141].[Sales]" caption="Sales" attribute="1" defaultMemberUniqueName="[Append32141].[Sales].[All]" allUniqueName="[Append32141].[Sales].[All]" dimensionUniqueName="[Append32141]" displayFolder="" count="0" memberValueDatatype="20" unbalanced="0"/>
    <cacheHierarchy uniqueName="[Append32141].[Weeknum]" caption="Weeknum" attribute="1" defaultMemberUniqueName="[Append32141].[Weeknum].[All]" allUniqueName="[Append32141].[Weeknum].[All]" dimensionUniqueName="[Append32141]" displayFolder="" count="0" memberValueDatatype="20" unbalanced="0"/>
    <cacheHierarchy uniqueName="[Append32141].[Date (Month)]" caption="Date (Month)" attribute="1" defaultMemberUniqueName="[Append32141].[Date (Month)].[All]" allUniqueName="[Append32141].[Date (Month)].[All]" dimensionUniqueName="[Append32141]" displayFolder="" count="0" memberValueDatatype="130" unbalanced="0"/>
    <cacheHierarchy uniqueName="[Append32142].[Platform]" caption="Platform" attribute="1" defaultMemberUniqueName="[Append32142].[Platform].[All]" allUniqueName="[Append32142].[Platform].[All]" dimensionUniqueName="[Append32142]" displayFolder="" count="0" memberValueDatatype="130" unbalanced="0"/>
    <cacheHierarchy uniqueName="[Append32142].[SKU]" caption="SKU" attribute="1" defaultMemberUniqueName="[Append32142].[SKU].[All]" allUniqueName="[Append32142].[SKU].[All]" dimensionUniqueName="[Append32142]" displayFolder="" count="0" memberValueDatatype="130" unbalanced="0"/>
    <cacheHierarchy uniqueName="[Append32142].[Date]" caption="Date" attribute="1" time="1" defaultMemberUniqueName="[Append32142].[Date].[All]" allUniqueName="[Append32142].[Date].[All]" dimensionUniqueName="[Append32142]" displayFolder="" count="0" memberValueDatatype="7" unbalanced="0"/>
    <cacheHierarchy uniqueName="[Append32142].[Sales]" caption="Sales" attribute="1" defaultMemberUniqueName="[Append32142].[Sales].[All]" allUniqueName="[Append32142].[Sales].[All]" dimensionUniqueName="[Append32142]" displayFolder="" count="0" memberValueDatatype="20" unbalanced="0"/>
    <cacheHierarchy uniqueName="[Append32142].[Weeknum]" caption="Weeknum" attribute="1" defaultMemberUniqueName="[Append32142].[Weeknum].[All]" allUniqueName="[Append32142].[Weeknum].[All]" dimensionUniqueName="[Append32142]" displayFolder="" count="0" memberValueDatatype="20" unbalanced="0"/>
    <cacheHierarchy uniqueName="[Append32142].[Date (Month)]" caption="Date (Month)" attribute="1" defaultMemberUniqueName="[Append32142].[Date (Month)].[All]" allUniqueName="[Append32142].[Date (Month)].[All]" dimensionUniqueName="[Append32142]" displayFolder="" count="0" memberValueDatatype="130" unbalanced="0"/>
    <cacheHierarchy uniqueName="[Append321].[Date (Month Index)]" caption="Date (Month Index)" attribute="1" defaultMemberUniqueName="[Append321].[Date (Month Index)].[All]" allUniqueName="[Append321].[Date (Month Index)].[All]" dimensionUniqueName="[Append321]" displayFolder="" count="0" memberValueDatatype="20" unbalanced="0" hidden="1"/>
    <cacheHierarchy uniqueName="[Append32141].[Date (Month Index)]" caption="Date (Month Index)" attribute="1" defaultMemberUniqueName="[Append32141].[Date (Month Index)].[All]" allUniqueName="[Append32141].[Date (Month Index)].[All]" dimensionUniqueName="[Append32141]" displayFolder="" count="0" memberValueDatatype="20" unbalanced="0" hidden="1"/>
    <cacheHierarchy uniqueName="[Append32142].[Date (Month Index)]" caption="Date (Month Index)" attribute="1" defaultMemberUniqueName="[Append32142].[Date (Month Index)].[All]" allUniqueName="[Append32142].[Date (Month Index)].[All]" dimensionUniqueName="[Append32142]" displayFolder="" count="0" memberValueDatatype="20" unbalanced="0" hidden="1"/>
    <cacheHierarchy uniqueName="[Measures].[__XL_Count Append321]" caption="__XL_Count Append321" measure="1" displayFolder="" measureGroup="Append321" count="0" hidden="1"/>
    <cacheHierarchy uniqueName="[Measures].[__XL_Count Append3214]" caption="__XL_Count Append3214" measure="1" displayFolder="" measureGroup="Append3214" count="0" hidden="1"/>
    <cacheHierarchy uniqueName="[Measures].[__XL_Count Append32141]" caption="__XL_Count Append32141" measure="1" displayFolder="" measureGroup="Append32141" count="0" hidden="1"/>
    <cacheHierarchy uniqueName="[Measures].[__XL_Count Append32142]" caption="__XL_Count Append32142" measure="1" displayFolder="" measureGroup="Append3214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Append32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Sales 2]" caption="Sum of Sales 2" measure="1" displayFolder="" measureGroup="Append321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es 3]" caption="Sum of Sales 3" measure="1" displayFolder="" measureGroup="Append3214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4]" caption="Sum of Sales 4" measure="1" displayFolder="" measureGroup="Append32142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Append321" uniqueName="[Append321]" caption="Append321"/>
    <dimension name="Append3214" uniqueName="[Append3214]" caption="Append3214"/>
    <dimension name="Append32141" uniqueName="[Append32141]" caption="Append32141"/>
    <dimension name="Append32142" uniqueName="[Append32142]" caption="Append32142"/>
    <dimension measure="1" name="Measures" uniqueName="[Measures]" caption="Measures"/>
  </dimensions>
  <measureGroups count="4">
    <measureGroup name="Append321" caption="Append321"/>
    <measureGroup name="Append3214" caption="Append3214"/>
    <measureGroup name="Append32141" caption="Append32141"/>
    <measureGroup name="Append32142" caption="Append32142"/>
  </measureGroups>
  <maps count="4">
    <map measureGroup="0" dimension="0"/>
    <map measureGroup="1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06.142650578702" backgroundQuery="1" createdVersion="8" refreshedVersion="8" minRefreshableVersion="3" recordCount="0" supportSubquery="1" supportAdvancedDrill="1" xr:uid="{9498B168-AADD-4C5C-8945-237634A4441B}">
  <cacheSource type="external" connectionId="15"/>
  <cacheFields count="2">
    <cacheField name="[Append3214].[Weeknum].[Weeknum]" caption="Weeknum" numFmtId="0" hierarchy="9" level="1">
      <sharedItems containsSemiMixedTypes="0" containsString="0" containsNumber="1" containsInteger="1" minValue="22" maxValue="35" count="14"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</sharedItems>
      <extLst>
        <ext xmlns:x15="http://schemas.microsoft.com/office/spreadsheetml/2010/11/main" uri="{4F2E5C28-24EA-4eb8-9CBF-B6C8F9C3D259}">
          <x15:cachedUniqueNames>
            <x15:cachedUniqueName index="0" name="[Append3214].[Weeknum].&amp;[22]"/>
            <x15:cachedUniqueName index="1" name="[Append3214].[Weeknum].&amp;[23]"/>
            <x15:cachedUniqueName index="2" name="[Append3214].[Weeknum].&amp;[24]"/>
            <x15:cachedUniqueName index="3" name="[Append3214].[Weeknum].&amp;[25]"/>
            <x15:cachedUniqueName index="4" name="[Append3214].[Weeknum].&amp;[26]"/>
            <x15:cachedUniqueName index="5" name="[Append3214].[Weeknum].&amp;[27]"/>
            <x15:cachedUniqueName index="6" name="[Append3214].[Weeknum].&amp;[28]"/>
            <x15:cachedUniqueName index="7" name="[Append3214].[Weeknum].&amp;[29]"/>
            <x15:cachedUniqueName index="8" name="[Append3214].[Weeknum].&amp;[30]"/>
            <x15:cachedUniqueName index="9" name="[Append3214].[Weeknum].&amp;[31]"/>
            <x15:cachedUniqueName index="10" name="[Append3214].[Weeknum].&amp;[32]"/>
            <x15:cachedUniqueName index="11" name="[Append3214].[Weeknum].&amp;[33]"/>
            <x15:cachedUniqueName index="12" name="[Append3214].[Weeknum].&amp;[34]"/>
            <x15:cachedUniqueName index="13" name="[Append3214].[Weeknum].&amp;[35]"/>
          </x15:cachedUniqueNames>
        </ext>
      </extLst>
    </cacheField>
    <cacheField name="[Measures].[Sum of Sales 2]" caption="Sum of Sales 2" numFmtId="0" hierarchy="31" level="32767"/>
  </cacheFields>
  <cacheHierarchies count="34">
    <cacheHierarchy uniqueName="[Append321].[Platform]" caption="Platform" attribute="1" defaultMemberUniqueName="[Append321].[Platform].[All]" allUniqueName="[Append321].[Platform].[All]" dimensionUniqueName="[Append321]" displayFolder="" count="0" memberValueDatatype="130" unbalanced="0"/>
    <cacheHierarchy uniqueName="[Append321].[SKU]" caption="SKU" attribute="1" defaultMemberUniqueName="[Append321].[SKU].[All]" allUniqueName="[Append321].[SKU].[All]" dimensionUniqueName="[Append321]" displayFolder="" count="0" memberValueDatatype="130" unbalanced="0"/>
    <cacheHierarchy uniqueName="[Append321].[Date]" caption="Date" attribute="1" time="1" defaultMemberUniqueName="[Append321].[Date].[All]" allUniqueName="[Append321].[Date].[All]" dimensionUniqueName="[Append321]" displayFolder="" count="0" memberValueDatatype="7" unbalanced="0"/>
    <cacheHierarchy uniqueName="[Append321].[Sales]" caption="Sales" attribute="1" defaultMemberUniqueName="[Append321].[Sales].[All]" allUniqueName="[Append321].[Sales].[All]" dimensionUniqueName="[Append321]" displayFolder="" count="0" memberValueDatatype="20" unbalanced="0"/>
    <cacheHierarchy uniqueName="[Append321].[Date (Month)]" caption="Date (Month)" attribute="1" defaultMemberUniqueName="[Append321].[Date (Month)].[All]" allUniqueName="[Append321].[Date (Month)].[All]" dimensionUniqueName="[Append321]" displayFolder="" count="0" memberValueDatatype="130" unbalanced="0"/>
    <cacheHierarchy uniqueName="[Append3214].[Platform]" caption="Platform" attribute="1" defaultMemberUniqueName="[Append3214].[Platform].[All]" allUniqueName="[Append3214].[Platform].[All]" dimensionUniqueName="[Append3214]" displayFolder="" count="0" memberValueDatatype="130" unbalanced="0"/>
    <cacheHierarchy uniqueName="[Append3214].[SKU]" caption="SKU" attribute="1" defaultMemberUniqueName="[Append3214].[SKU].[All]" allUniqueName="[Append3214].[SKU].[All]" dimensionUniqueName="[Append3214]" displayFolder="" count="0" memberValueDatatype="130" unbalanced="0"/>
    <cacheHierarchy uniqueName="[Append3214].[Date]" caption="Date" attribute="1" time="1" defaultMemberUniqueName="[Append3214].[Date].[All]" allUniqueName="[Append3214].[Date].[All]" dimensionUniqueName="[Append3214]" displayFolder="" count="0" memberValueDatatype="7" unbalanced="0"/>
    <cacheHierarchy uniqueName="[Append3214].[Sales]" caption="Sales" attribute="1" defaultMemberUniqueName="[Append3214].[Sales].[All]" allUniqueName="[Append3214].[Sales].[All]" dimensionUniqueName="[Append3214]" displayFolder="" count="0" memberValueDatatype="20" unbalanced="0"/>
    <cacheHierarchy uniqueName="[Append3214].[Weeknum]" caption="Weeknum" attribute="1" defaultMemberUniqueName="[Append3214].[Weeknum].[All]" allUniqueName="[Append3214].[Weeknum].[All]" dimensionUniqueName="[Append3214]" displayFolder="" count="2" memberValueDatatype="20" unbalanced="0">
      <fieldsUsage count="2">
        <fieldUsage x="-1"/>
        <fieldUsage x="0"/>
      </fieldsUsage>
    </cacheHierarchy>
    <cacheHierarchy uniqueName="[Append32141].[Platform]" caption="Platform" attribute="1" defaultMemberUniqueName="[Append32141].[Platform].[All]" allUniqueName="[Append32141].[Platform].[All]" dimensionUniqueName="[Append32141]" displayFolder="" count="0" memberValueDatatype="130" unbalanced="0"/>
    <cacheHierarchy uniqueName="[Append32141].[SKU]" caption="SKU" attribute="1" defaultMemberUniqueName="[Append32141].[SKU].[All]" allUniqueName="[Append32141].[SKU].[All]" dimensionUniqueName="[Append32141]" displayFolder="" count="0" memberValueDatatype="130" unbalanced="0"/>
    <cacheHierarchy uniqueName="[Append32141].[Date]" caption="Date" attribute="1" time="1" defaultMemberUniqueName="[Append32141].[Date].[All]" allUniqueName="[Append32141].[Date].[All]" dimensionUniqueName="[Append32141]" displayFolder="" count="0" memberValueDatatype="7" unbalanced="0"/>
    <cacheHierarchy uniqueName="[Append32141].[Sales]" caption="Sales" attribute="1" defaultMemberUniqueName="[Append32141].[Sales].[All]" allUniqueName="[Append32141].[Sales].[All]" dimensionUniqueName="[Append32141]" displayFolder="" count="0" memberValueDatatype="20" unbalanced="0"/>
    <cacheHierarchy uniqueName="[Append32141].[Weeknum]" caption="Weeknum" attribute="1" defaultMemberUniqueName="[Append32141].[Weeknum].[All]" allUniqueName="[Append32141].[Weeknum].[All]" dimensionUniqueName="[Append32141]" displayFolder="" count="0" memberValueDatatype="20" unbalanced="0"/>
    <cacheHierarchy uniqueName="[Append32141].[Date (Month)]" caption="Date (Month)" attribute="1" defaultMemberUniqueName="[Append32141].[Date (Month)].[All]" allUniqueName="[Append32141].[Date (Month)].[All]" dimensionUniqueName="[Append32141]" displayFolder="" count="0" memberValueDatatype="130" unbalanced="0"/>
    <cacheHierarchy uniqueName="[Append32142].[Platform]" caption="Platform" attribute="1" defaultMemberUniqueName="[Append32142].[Platform].[All]" allUniqueName="[Append32142].[Platform].[All]" dimensionUniqueName="[Append32142]" displayFolder="" count="0" memberValueDatatype="130" unbalanced="0"/>
    <cacheHierarchy uniqueName="[Append32142].[SKU]" caption="SKU" attribute="1" defaultMemberUniqueName="[Append32142].[SKU].[All]" allUniqueName="[Append32142].[SKU].[All]" dimensionUniqueName="[Append32142]" displayFolder="" count="0" memberValueDatatype="130" unbalanced="0"/>
    <cacheHierarchy uniqueName="[Append32142].[Date]" caption="Date" attribute="1" time="1" defaultMemberUniqueName="[Append32142].[Date].[All]" allUniqueName="[Append32142].[Date].[All]" dimensionUniqueName="[Append32142]" displayFolder="" count="0" memberValueDatatype="7" unbalanced="0"/>
    <cacheHierarchy uniqueName="[Append32142].[Sales]" caption="Sales" attribute="1" defaultMemberUniqueName="[Append32142].[Sales].[All]" allUniqueName="[Append32142].[Sales].[All]" dimensionUniqueName="[Append32142]" displayFolder="" count="0" memberValueDatatype="20" unbalanced="0"/>
    <cacheHierarchy uniqueName="[Append32142].[Weeknum]" caption="Weeknum" attribute="1" defaultMemberUniqueName="[Append32142].[Weeknum].[All]" allUniqueName="[Append32142].[Weeknum].[All]" dimensionUniqueName="[Append32142]" displayFolder="" count="0" memberValueDatatype="20" unbalanced="0"/>
    <cacheHierarchy uniqueName="[Append32142].[Date (Month)]" caption="Date (Month)" attribute="1" defaultMemberUniqueName="[Append32142].[Date (Month)].[All]" allUniqueName="[Append32142].[Date (Month)].[All]" dimensionUniqueName="[Append32142]" displayFolder="" count="0" memberValueDatatype="130" unbalanced="0"/>
    <cacheHierarchy uniqueName="[Append321].[Date (Month Index)]" caption="Date (Month Index)" attribute="1" defaultMemberUniqueName="[Append321].[Date (Month Index)].[All]" allUniqueName="[Append321].[Date (Month Index)].[All]" dimensionUniqueName="[Append321]" displayFolder="" count="0" memberValueDatatype="20" unbalanced="0" hidden="1"/>
    <cacheHierarchy uniqueName="[Append32141].[Date (Month Index)]" caption="Date (Month Index)" attribute="1" defaultMemberUniqueName="[Append32141].[Date (Month Index)].[All]" allUniqueName="[Append32141].[Date (Month Index)].[All]" dimensionUniqueName="[Append32141]" displayFolder="" count="0" memberValueDatatype="20" unbalanced="0" hidden="1"/>
    <cacheHierarchy uniqueName="[Append32142].[Date (Month Index)]" caption="Date (Month Index)" attribute="1" defaultMemberUniqueName="[Append32142].[Date (Month Index)].[All]" allUniqueName="[Append32142].[Date (Month Index)].[All]" dimensionUniqueName="[Append32142]" displayFolder="" count="0" memberValueDatatype="20" unbalanced="0" hidden="1"/>
    <cacheHierarchy uniqueName="[Measures].[__XL_Count Append321]" caption="__XL_Count Append321" measure="1" displayFolder="" measureGroup="Append321" count="0" hidden="1"/>
    <cacheHierarchy uniqueName="[Measures].[__XL_Count Append3214]" caption="__XL_Count Append3214" measure="1" displayFolder="" measureGroup="Append3214" count="0" hidden="1"/>
    <cacheHierarchy uniqueName="[Measures].[__XL_Count Append32141]" caption="__XL_Count Append32141" measure="1" displayFolder="" measureGroup="Append32141" count="0" hidden="1"/>
    <cacheHierarchy uniqueName="[Measures].[__XL_Count Append32142]" caption="__XL_Count Append32142" measure="1" displayFolder="" measureGroup="Append3214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Append32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Sales 2]" caption="Sum of Sales 2" measure="1" displayFolder="" measureGroup="Append321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es 3]" caption="Sum of Sales 3" measure="1" displayFolder="" measureGroup="Append3214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4]" caption="Sum of Sales 4" measure="1" displayFolder="" measureGroup="Append32142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Append321" uniqueName="[Append321]" caption="Append321"/>
    <dimension name="Append3214" uniqueName="[Append3214]" caption="Append3214"/>
    <dimension name="Append32141" uniqueName="[Append32141]" caption="Append32141"/>
    <dimension name="Append32142" uniqueName="[Append32142]" caption="Append32142"/>
    <dimension measure="1" name="Measures" uniqueName="[Measures]" caption="Measures"/>
  </dimensions>
  <measureGroups count="4">
    <measureGroup name="Append321" caption="Append321"/>
    <measureGroup name="Append3214" caption="Append3214"/>
    <measureGroup name="Append32141" caption="Append32141"/>
    <measureGroup name="Append32142" caption="Append32142"/>
  </measureGroups>
  <maps count="4">
    <map measureGroup="0" dimension="0"/>
    <map measureGroup="1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06.142339351849" backgroundQuery="1" createdVersion="8" refreshedVersion="8" minRefreshableVersion="3" recordCount="0" supportSubquery="1" supportAdvancedDrill="1" xr:uid="{8D7D4F8C-86A4-4D5B-AC94-F58CFB42DF96}">
  <cacheSource type="external" connectionId="15"/>
  <cacheFields count="3">
    <cacheField name="[Append32142].[Platform].[Platform]" caption="Platform" numFmtId="0" hierarchy="16" level="1">
      <sharedItems count="6">
        <s v="AMAZON NOW F"/>
        <s v="Platform A"/>
        <s v="Platform B"/>
        <s v="Platform C"/>
        <s v="Platform D"/>
        <s v="Platform E"/>
      </sharedItems>
    </cacheField>
    <cacheField name="[Append32142].[Weeknum].[Weeknum]" caption="Weeknum" numFmtId="0" hierarchy="20" level="1">
      <sharedItems containsSemiMixedTypes="0" containsString="0" containsNumber="1" containsInteger="1" minValue="22" maxValue="35" count="14"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</sharedItems>
      <extLst>
        <ext xmlns:x15="http://schemas.microsoft.com/office/spreadsheetml/2010/11/main" uri="{4F2E5C28-24EA-4eb8-9CBF-B6C8F9C3D259}">
          <x15:cachedUniqueNames>
            <x15:cachedUniqueName index="0" name="[Append32142].[Weeknum].&amp;[22]"/>
            <x15:cachedUniqueName index="1" name="[Append32142].[Weeknum].&amp;[23]"/>
            <x15:cachedUniqueName index="2" name="[Append32142].[Weeknum].&amp;[24]"/>
            <x15:cachedUniqueName index="3" name="[Append32142].[Weeknum].&amp;[25]"/>
            <x15:cachedUniqueName index="4" name="[Append32142].[Weeknum].&amp;[26]"/>
            <x15:cachedUniqueName index="5" name="[Append32142].[Weeknum].&amp;[27]"/>
            <x15:cachedUniqueName index="6" name="[Append32142].[Weeknum].&amp;[28]"/>
            <x15:cachedUniqueName index="7" name="[Append32142].[Weeknum].&amp;[29]"/>
            <x15:cachedUniqueName index="8" name="[Append32142].[Weeknum].&amp;[30]"/>
            <x15:cachedUniqueName index="9" name="[Append32142].[Weeknum].&amp;[31]"/>
            <x15:cachedUniqueName index="10" name="[Append32142].[Weeknum].&amp;[32]"/>
            <x15:cachedUniqueName index="11" name="[Append32142].[Weeknum].&amp;[33]"/>
            <x15:cachedUniqueName index="12" name="[Append32142].[Weeknum].&amp;[34]"/>
            <x15:cachedUniqueName index="13" name="[Append32142].[Weeknum].&amp;[35]"/>
          </x15:cachedUniqueNames>
        </ext>
      </extLst>
    </cacheField>
    <cacheField name="[Measures].[Sum of Sales 4]" caption="Sum of Sales 4" numFmtId="0" hierarchy="33" level="32767"/>
  </cacheFields>
  <cacheHierarchies count="34">
    <cacheHierarchy uniqueName="[Append321].[Platform]" caption="Platform" attribute="1" defaultMemberUniqueName="[Append321].[Platform].[All]" allUniqueName="[Append321].[Platform].[All]" dimensionUniqueName="[Append321]" displayFolder="" count="0" memberValueDatatype="130" unbalanced="0"/>
    <cacheHierarchy uniqueName="[Append321].[SKU]" caption="SKU" attribute="1" defaultMemberUniqueName="[Append321].[SKU].[All]" allUniqueName="[Append321].[SKU].[All]" dimensionUniqueName="[Append321]" displayFolder="" count="0" memberValueDatatype="130" unbalanced="0"/>
    <cacheHierarchy uniqueName="[Append321].[Date]" caption="Date" attribute="1" time="1" defaultMemberUniqueName="[Append321].[Date].[All]" allUniqueName="[Append321].[Date].[All]" dimensionUniqueName="[Append321]" displayFolder="" count="0" memberValueDatatype="7" unbalanced="0"/>
    <cacheHierarchy uniqueName="[Append321].[Sales]" caption="Sales" attribute="1" defaultMemberUniqueName="[Append321].[Sales].[All]" allUniqueName="[Append321].[Sales].[All]" dimensionUniqueName="[Append321]" displayFolder="" count="0" memberValueDatatype="20" unbalanced="0"/>
    <cacheHierarchy uniqueName="[Append321].[Date (Month)]" caption="Date (Month)" attribute="1" defaultMemberUniqueName="[Append321].[Date (Month)].[All]" allUniqueName="[Append321].[Date (Month)].[All]" dimensionUniqueName="[Append321]" displayFolder="" count="0" memberValueDatatype="130" unbalanced="0"/>
    <cacheHierarchy uniqueName="[Append3214].[Platform]" caption="Platform" attribute="1" defaultMemberUniqueName="[Append3214].[Platform].[All]" allUniqueName="[Append3214].[Platform].[All]" dimensionUniqueName="[Append3214]" displayFolder="" count="0" memberValueDatatype="130" unbalanced="0"/>
    <cacheHierarchy uniqueName="[Append3214].[SKU]" caption="SKU" attribute="1" defaultMemberUniqueName="[Append3214].[SKU].[All]" allUniqueName="[Append3214].[SKU].[All]" dimensionUniqueName="[Append3214]" displayFolder="" count="0" memberValueDatatype="130" unbalanced="0"/>
    <cacheHierarchy uniqueName="[Append3214].[Date]" caption="Date" attribute="1" time="1" defaultMemberUniqueName="[Append3214].[Date].[All]" allUniqueName="[Append3214].[Date].[All]" dimensionUniqueName="[Append3214]" displayFolder="" count="0" memberValueDatatype="7" unbalanced="0"/>
    <cacheHierarchy uniqueName="[Append3214].[Sales]" caption="Sales" attribute="1" defaultMemberUniqueName="[Append3214].[Sales].[All]" allUniqueName="[Append3214].[Sales].[All]" dimensionUniqueName="[Append3214]" displayFolder="" count="0" memberValueDatatype="20" unbalanced="0"/>
    <cacheHierarchy uniqueName="[Append3214].[Weeknum]" caption="Weeknum" attribute="1" defaultMemberUniqueName="[Append3214].[Weeknum].[All]" allUniqueName="[Append3214].[Weeknum].[All]" dimensionUniqueName="[Append3214]" displayFolder="" count="0" memberValueDatatype="20" unbalanced="0"/>
    <cacheHierarchy uniqueName="[Append32141].[Platform]" caption="Platform" attribute="1" defaultMemberUniqueName="[Append32141].[Platform].[All]" allUniqueName="[Append32141].[Platform].[All]" dimensionUniqueName="[Append32141]" displayFolder="" count="0" memberValueDatatype="130" unbalanced="0"/>
    <cacheHierarchy uniqueName="[Append32141].[SKU]" caption="SKU" attribute="1" defaultMemberUniqueName="[Append32141].[SKU].[All]" allUniqueName="[Append32141].[SKU].[All]" dimensionUniqueName="[Append32141]" displayFolder="" count="0" memberValueDatatype="130" unbalanced="0"/>
    <cacheHierarchy uniqueName="[Append32141].[Date]" caption="Date" attribute="1" time="1" defaultMemberUniqueName="[Append32141].[Date].[All]" allUniqueName="[Append32141].[Date].[All]" dimensionUniqueName="[Append32141]" displayFolder="" count="0" memberValueDatatype="7" unbalanced="0"/>
    <cacheHierarchy uniqueName="[Append32141].[Sales]" caption="Sales" attribute="1" defaultMemberUniqueName="[Append32141].[Sales].[All]" allUniqueName="[Append32141].[Sales].[All]" dimensionUniqueName="[Append32141]" displayFolder="" count="0" memberValueDatatype="20" unbalanced="0"/>
    <cacheHierarchy uniqueName="[Append32141].[Weeknum]" caption="Weeknum" attribute="1" defaultMemberUniqueName="[Append32141].[Weeknum].[All]" allUniqueName="[Append32141].[Weeknum].[All]" dimensionUniqueName="[Append32141]" displayFolder="" count="0" memberValueDatatype="20" unbalanced="0"/>
    <cacheHierarchy uniqueName="[Append32141].[Date (Month)]" caption="Date (Month)" attribute="1" defaultMemberUniqueName="[Append32141].[Date (Month)].[All]" allUniqueName="[Append32141].[Date (Month)].[All]" dimensionUniqueName="[Append32141]" displayFolder="" count="0" memberValueDatatype="130" unbalanced="0"/>
    <cacheHierarchy uniqueName="[Append32142].[Platform]" caption="Platform" attribute="1" defaultMemberUniqueName="[Append32142].[Platform].[All]" allUniqueName="[Append32142].[Platform].[All]" dimensionUniqueName="[Append32142]" displayFolder="" count="2" memberValueDatatype="130" unbalanced="0">
      <fieldsUsage count="2">
        <fieldUsage x="-1"/>
        <fieldUsage x="0"/>
      </fieldsUsage>
    </cacheHierarchy>
    <cacheHierarchy uniqueName="[Append32142].[SKU]" caption="SKU" attribute="1" defaultMemberUniqueName="[Append32142].[SKU].[All]" allUniqueName="[Append32142].[SKU].[All]" dimensionUniqueName="[Append32142]" displayFolder="" count="0" memberValueDatatype="130" unbalanced="0"/>
    <cacheHierarchy uniqueName="[Append32142].[Date]" caption="Date" attribute="1" time="1" defaultMemberUniqueName="[Append32142].[Date].[All]" allUniqueName="[Append32142].[Date].[All]" dimensionUniqueName="[Append32142]" displayFolder="" count="0" memberValueDatatype="7" unbalanced="0"/>
    <cacheHierarchy uniqueName="[Append32142].[Sales]" caption="Sales" attribute="1" defaultMemberUniqueName="[Append32142].[Sales].[All]" allUniqueName="[Append32142].[Sales].[All]" dimensionUniqueName="[Append32142]" displayFolder="" count="0" memberValueDatatype="20" unbalanced="0"/>
    <cacheHierarchy uniqueName="[Append32142].[Weeknum]" caption="Weeknum" attribute="1" defaultMemberUniqueName="[Append32142].[Weeknum].[All]" allUniqueName="[Append32142].[Weeknum].[All]" dimensionUniqueName="[Append32142]" displayFolder="" count="2" memberValueDatatype="20" unbalanced="0">
      <fieldsUsage count="2">
        <fieldUsage x="-1"/>
        <fieldUsage x="1"/>
      </fieldsUsage>
    </cacheHierarchy>
    <cacheHierarchy uniqueName="[Append32142].[Date (Month)]" caption="Date (Month)" attribute="1" defaultMemberUniqueName="[Append32142].[Date (Month)].[All]" allUniqueName="[Append32142].[Date (Month)].[All]" dimensionUniqueName="[Append32142]" displayFolder="" count="0" memberValueDatatype="130" unbalanced="0"/>
    <cacheHierarchy uniqueName="[Append321].[Date (Month Index)]" caption="Date (Month Index)" attribute="1" defaultMemberUniqueName="[Append321].[Date (Month Index)].[All]" allUniqueName="[Append321].[Date (Month Index)].[All]" dimensionUniqueName="[Append321]" displayFolder="" count="0" memberValueDatatype="20" unbalanced="0" hidden="1"/>
    <cacheHierarchy uniqueName="[Append32141].[Date (Month Index)]" caption="Date (Month Index)" attribute="1" defaultMemberUniqueName="[Append32141].[Date (Month Index)].[All]" allUniqueName="[Append32141].[Date (Month Index)].[All]" dimensionUniqueName="[Append32141]" displayFolder="" count="0" memberValueDatatype="20" unbalanced="0" hidden="1"/>
    <cacheHierarchy uniqueName="[Append32142].[Date (Month Index)]" caption="Date (Month Index)" attribute="1" defaultMemberUniqueName="[Append32142].[Date (Month Index)].[All]" allUniqueName="[Append32142].[Date (Month Index)].[All]" dimensionUniqueName="[Append32142]" displayFolder="" count="0" memberValueDatatype="20" unbalanced="0" hidden="1"/>
    <cacheHierarchy uniqueName="[Measures].[__XL_Count Append321]" caption="__XL_Count Append321" measure="1" displayFolder="" measureGroup="Append321" count="0" hidden="1"/>
    <cacheHierarchy uniqueName="[Measures].[__XL_Count Append3214]" caption="__XL_Count Append3214" measure="1" displayFolder="" measureGroup="Append3214" count="0" hidden="1"/>
    <cacheHierarchy uniqueName="[Measures].[__XL_Count Append32141]" caption="__XL_Count Append32141" measure="1" displayFolder="" measureGroup="Append32141" count="0" hidden="1"/>
    <cacheHierarchy uniqueName="[Measures].[__XL_Count Append32142]" caption="__XL_Count Append32142" measure="1" displayFolder="" measureGroup="Append3214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Append32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Sales 2]" caption="Sum of Sales 2" measure="1" displayFolder="" measureGroup="Append3214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es 3]" caption="Sum of Sales 3" measure="1" displayFolder="" measureGroup="Append3214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ales 4]" caption="Sum of Sales 4" measure="1" displayFolder="" measureGroup="Append3214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5">
    <dimension name="Append321" uniqueName="[Append321]" caption="Append321"/>
    <dimension name="Append3214" uniqueName="[Append3214]" caption="Append3214"/>
    <dimension name="Append32141" uniqueName="[Append32141]" caption="Append32141"/>
    <dimension name="Append32142" uniqueName="[Append32142]" caption="Append32142"/>
    <dimension measure="1" name="Measures" uniqueName="[Measures]" caption="Measures"/>
  </dimensions>
  <measureGroups count="4">
    <measureGroup name="Append321" caption="Append321"/>
    <measureGroup name="Append3214" caption="Append3214"/>
    <measureGroup name="Append32141" caption="Append32141"/>
    <measureGroup name="Append32142" caption="Append32142"/>
  </measureGroups>
  <maps count="4">
    <map measureGroup="0" dimension="0"/>
    <map measureGroup="1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F67C46-944B-4D3B-9369-A6A14EF2186E}" name="PivotTable13" cacheId="1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>
  <location ref="AA3:AO10" firstHeaderRow="1" firstDataRow="2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colItems>
  <dataFields count="1">
    <dataField name="Sum of Sales2" fld="2" showDataAs="percentDiff" baseField="1" baseItem="1048828" numFmtId="1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Append32141">
        <x15:activeTabTopLevelEntity name="[Append3214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5ACD6-AE55-4EB6-B2DB-FECFDE0809C2}" name="PivotTable3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3">
  <location ref="I3:J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0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Append321">
        <x15:activeTabTopLevelEntity name="[Append3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61272-5860-4C3C-9D44-3C62CC472770}" name="PivotTable1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A19:AD26" firstHeaderRow="1" firstDataRow="2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2"/>
  </colFields>
  <colItems count="3">
    <i>
      <x/>
    </i>
    <i>
      <x v="1"/>
    </i>
    <i>
      <x v="2"/>
    </i>
  </colItems>
  <dataFields count="1">
    <dataField name="Sum of Sales2" fld="1" showDataAs="percentDiff" baseField="2" baseItem="1048828" numFmtId="1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Append32141">
        <x15:activeTabTopLevelEntity name="[Append3214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FFB10-065C-4C38-BE80-44736DC0264A}" name="PivotTable1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M101:T117" firstHeaderRow="1" firstDataRow="2" firstDataCol="1"/>
  <pivotFields count="3"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" fld="2" baseField="0" baseItem="0"/>
  </dataFields>
  <chartFormats count="6"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Append32142">
        <x15:activeTabTopLevelEntity name="[Append3214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17392-70A5-49FA-8C1D-7A68C0647E8D}" name="PivotTable2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>
  <location ref="A3:B96" firstHeaderRow="1" firstDataRow="1" firstDataCol="1"/>
  <pivotFields count="2">
    <pivotField axis="axisRow" allDrilled="1" subtotalTop="0" showAll="0" dataSourceSort="1" defaultSubtotal="0" defaultAttributeDrillState="1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  <pivotField dataField="1" subtotalTop="0" showAll="0" defaultSubtotal="0"/>
  </pivotFields>
  <rowFields count="1">
    <field x="0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um of Sales" fld="1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Append321">
        <x15:activeTabTopLevelEntity name="[Append3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0F20D-B838-40BD-8C4F-CDCE2D70DB74}" name="PivotTable9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14:F29" firstHeaderRow="1" firstDataRow="1" firstDataCol="1"/>
  <pivotFields count="2"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Sales" fld="1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Append3214">
        <x15:activeTabTopLevelEntity name="[Append321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099AF-9A67-4E02-9583-6E2C96CB938C}" name="PivotTable4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9">
  <location ref="M3:T97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</pivotFields>
  <rowFields count="1">
    <field x="2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" fld="0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Append321">
        <x15:activeTabTopLevelEntity name="[Append3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DFCB5-FC06-4D4F-8F0D-6478AFF48C4F}" name="PivotTable5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0">
  <location ref="W3:X14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0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30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Append321">
        <x15:activeTabTopLevelEntity name="[Append3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391F5-83E5-41C6-8E83-32B9664B275A}" name="PivotTable6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E3:F7" firstHeaderRow="1" firstDataRow="1" firstDataCol="1"/>
  <pivotFields count="3"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>
      <items count="3">
        <item x="0" e="0"/>
        <item x="1" e="0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0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30">
      <autoFilter ref="A1">
        <filterColumn colId="0">
          <top10 val="10" filterVal="10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Append321">
        <x15:activeTabTopLevelEntity name="[Append3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D5570AA-A829-4054-BFC3-634774C486EA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Platform" tableColumnId="1"/>
      <queryTableField id="2" name="SKU " tableColumnId="2"/>
      <queryTableField id="3" name="Date" tableColumnId="3"/>
      <queryTableField id="4" name="Sales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6B707D1-EA80-4242-BBE8-04FF05688574}" name="Append321" displayName="Append321" ref="A1:E4158" tableType="queryTable" totalsRowShown="0">
  <autoFilter ref="A1:E4158" xr:uid="{06B707D1-EA80-4242-BBE8-04FF05688574}"/>
  <tableColumns count="5">
    <tableColumn id="1" xr3:uid="{2F022124-533C-4F25-B91F-B7D9412BDF76}" uniqueName="1" name="Platform" queryTableFieldId="1" dataDxfId="579"/>
    <tableColumn id="2" xr3:uid="{553EB1E9-04D3-4651-9AF4-CDD18FDA704F}" uniqueName="2" name="SKU " queryTableFieldId="2" dataDxfId="578"/>
    <tableColumn id="3" xr3:uid="{873BDB69-010B-448A-8F7F-A1740A8E9A05}" uniqueName="3" name="Date" queryTableFieldId="3" dataDxfId="577"/>
    <tableColumn id="4" xr3:uid="{9E65FE0B-4413-469B-85C0-2E9354880121}" uniqueName="4" name="Sales" queryTableFieldId="4"/>
    <tableColumn id="5" xr3:uid="{389ECE5C-5282-48F3-863E-2B4BA5E74617}" uniqueName="5" name="Weeknum" queryTableFieldId="5" dataDxfId="576">
      <calculatedColumnFormula>WEEKNUM(Append321[[#This Row],[Date]])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65884A-908A-4A4D-AFE5-E44291671486}" name="Table1" displayName="Table1" ref="A2:CO19" totalsRowShown="0" headerRowDxfId="575" dataDxfId="574">
  <autoFilter ref="A2:CO19" xr:uid="{9365884A-908A-4A4D-AFE5-E44291671486}"/>
  <tableColumns count="93">
    <tableColumn id="1" xr3:uid="{03503822-AB65-4B51-856C-EA05D24B6623}" name="Platform A" dataDxfId="573"/>
    <tableColumn id="2" xr3:uid="{E823A2F0-E237-48E6-91BC-780ADCD459EC}" name="508" dataDxfId="572"/>
    <tableColumn id="3" xr3:uid="{5F76321E-0465-4301-AE72-C7FBFB5E9421}" name="Column1" dataDxfId="571"/>
    <tableColumn id="4" xr3:uid="{F6C62800-A3DC-43EA-8155-23947A92DA4D}" name="Column2" dataDxfId="570"/>
    <tableColumn id="5" xr3:uid="{4554DAE9-F96D-46B9-B314-D9E0B48B2D63}" name="Column3" dataDxfId="569"/>
    <tableColumn id="6" xr3:uid="{100EDEC3-AB99-4CB5-ADFA-7A4C22E20876}" name="Column4" dataDxfId="568"/>
    <tableColumn id="7" xr3:uid="{E337E19D-D598-4E5F-BDCB-67EFBCF7D1F5}" name="Column5" dataDxfId="567"/>
    <tableColumn id="8" xr3:uid="{B7F4DFC0-ABA7-4361-B011-6D86B4311DB5}" name="Column6" dataDxfId="566"/>
    <tableColumn id="9" xr3:uid="{8536715E-B1DB-4942-9949-C33B9FEB212C}" name="Column7" dataDxfId="565"/>
    <tableColumn id="10" xr3:uid="{93E57EDC-ED70-4D1F-A191-B94B797025A2}" name="Column8" dataDxfId="564"/>
    <tableColumn id="11" xr3:uid="{460D0A03-9E29-44F9-A5B4-CFF1F61423A7}" name="Column9" dataDxfId="563"/>
    <tableColumn id="12" xr3:uid="{1C480E7F-6F16-40F2-871E-3B2FC27F5BD4}" name="Column10" dataDxfId="562"/>
    <tableColumn id="13" xr3:uid="{FDBCEF82-CDF5-4810-8D2A-1971787C0F22}" name="Column11" dataDxfId="561"/>
    <tableColumn id="14" xr3:uid="{6169A94F-F27B-479A-A113-6AC5C10DF483}" name="Column12" dataDxfId="560"/>
    <tableColumn id="15" xr3:uid="{36592F46-D0F4-4810-9B92-51C0D51C3553}" name="Column13" dataDxfId="559"/>
    <tableColumn id="16" xr3:uid="{2B1FE563-5D82-41E3-81E8-90271724C2EF}" name="Column14" dataDxfId="558"/>
    <tableColumn id="17" xr3:uid="{26033939-10AE-422E-A9F8-19897AA95138}" name="Column15" dataDxfId="557"/>
    <tableColumn id="18" xr3:uid="{3153D863-798D-42D0-86AF-CCE4D48BDF17}" name="Column16" dataDxfId="556"/>
    <tableColumn id="19" xr3:uid="{CCF499B9-4E19-4C32-A475-B4008F37F4AF}" name="Column17" dataDxfId="555"/>
    <tableColumn id="20" xr3:uid="{C684FCFA-8D34-46ED-957F-2CFFF4DAF68D}" name="Column18" dataDxfId="554"/>
    <tableColumn id="21" xr3:uid="{055A1173-DE1C-421C-B08A-2BC802CD8E25}" name="Column19" dataDxfId="553"/>
    <tableColumn id="22" xr3:uid="{9D8B88E5-E6F9-4A5C-97E0-BBA395E25311}" name="Column20" dataDxfId="552"/>
    <tableColumn id="23" xr3:uid="{6BBBE96A-2297-4F86-8DE7-004A9E821E2C}" name="Column21" dataDxfId="551"/>
    <tableColumn id="24" xr3:uid="{F6BF900E-A556-4F9E-9A06-57C7D0CA3796}" name="Column22" dataDxfId="550"/>
    <tableColumn id="25" xr3:uid="{52902D4F-DBFB-46D5-ABE4-9C724265749D}" name="Column23" dataDxfId="549"/>
    <tableColumn id="26" xr3:uid="{E653D4B3-F963-48FF-A1BD-720BA78C64A1}" name="Column24" dataDxfId="548"/>
    <tableColumn id="27" xr3:uid="{74C0D456-CAE9-4AAD-902D-1973076E2176}" name="Column25" dataDxfId="547"/>
    <tableColumn id="28" xr3:uid="{9B9B9BE3-F6F5-4CC8-BA6E-969DEC1F7436}" name="Column26" dataDxfId="546"/>
    <tableColumn id="29" xr3:uid="{3F0300AC-2EEC-4CC8-89EF-549128112418}" name="Column27" dataDxfId="545"/>
    <tableColumn id="30" xr3:uid="{2FF4ACAF-2E72-4983-BAF7-2F9697BE781C}" name="Column28" dataDxfId="544"/>
    <tableColumn id="31" xr3:uid="{94184BE3-8943-4C15-AA9F-1C9C51FE46B5}" name="Column29" dataDxfId="543"/>
    <tableColumn id="32" xr3:uid="{BF56C246-AF41-40C7-9AA8-87CA64658300}" name="Column30" dataDxfId="542"/>
    <tableColumn id="33" xr3:uid="{050CBCD5-B36C-4967-81D8-57E2285AA0A7}" name="Column31" dataDxfId="541"/>
    <tableColumn id="34" xr3:uid="{1B8CD3D1-8D62-445E-A46D-97AF93A4B1DA}" name="Column32" dataDxfId="540"/>
    <tableColumn id="35" xr3:uid="{8B1FDEDA-A5F7-4274-B630-2D3D34BDF61D}" name="Column33" dataDxfId="539"/>
    <tableColumn id="36" xr3:uid="{25D14196-BAC3-44FA-A434-441615775226}" name="Column34" dataDxfId="538"/>
    <tableColumn id="37" xr3:uid="{75DCF484-EA61-4580-9B80-861CC0787E9B}" name="Column35" dataDxfId="537"/>
    <tableColumn id="38" xr3:uid="{A6389D01-3307-4636-B50C-3534F75020F5}" name="Column36" dataDxfId="536"/>
    <tableColumn id="39" xr3:uid="{C05F9DC8-3FDC-46F3-B6E9-5DD957CCFE9C}" name="Column37" dataDxfId="535"/>
    <tableColumn id="40" xr3:uid="{64CFC3EB-D92D-41E0-8428-2B5C31117D26}" name="Column38" dataDxfId="534"/>
    <tableColumn id="41" xr3:uid="{152E451A-69F1-4A13-92FD-E9C9C365F84D}" name="Column39" dataDxfId="533"/>
    <tableColumn id="42" xr3:uid="{DB4ED065-D8EC-4279-A0F9-D006C68AD564}" name="Column40" dataDxfId="532"/>
    <tableColumn id="43" xr3:uid="{66CAA1E8-B0C0-43FC-8C4E-17EDDC87EE3E}" name="Column41" dataDxfId="531"/>
    <tableColumn id="44" xr3:uid="{B83EF8AE-5670-4878-8E2E-A91549886F2E}" name="Column42" dataDxfId="530"/>
    <tableColumn id="45" xr3:uid="{7925790E-FD58-4E3F-9B46-4A083ABC9195}" name="Column43" dataDxfId="529"/>
    <tableColumn id="46" xr3:uid="{0AC8A825-E12C-4E60-9A12-998AAC29733D}" name="Column44" dataDxfId="528"/>
    <tableColumn id="47" xr3:uid="{491D818C-7B93-4C1D-BEC7-1EF1CE2F3A22}" name="Column45" dataDxfId="527"/>
    <tableColumn id="48" xr3:uid="{C95996CF-C95B-4F48-9973-8BD8083624AC}" name="Column46" dataDxfId="526"/>
    <tableColumn id="49" xr3:uid="{D7CCFF18-9A62-4BCA-A686-963FDFEF42AD}" name="Column47" dataDxfId="525"/>
    <tableColumn id="50" xr3:uid="{5884934D-5328-4EB3-AEE0-DE1E72D23B97}" name="Column48" dataDxfId="524"/>
    <tableColumn id="51" xr3:uid="{5D558335-96A0-43E1-A611-9DE4BEF992AD}" name="Column49" dataDxfId="523"/>
    <tableColumn id="52" xr3:uid="{72AC1223-9745-4470-8B1C-6D6357437893}" name="Column50" dataDxfId="522"/>
    <tableColumn id="53" xr3:uid="{2A570783-A18F-4578-8B7C-0FD5A6B22D08}" name="Column51" dataDxfId="521"/>
    <tableColumn id="54" xr3:uid="{E2046FD5-F370-41DD-812F-93316D4926FC}" name="Column52" dataDxfId="520"/>
    <tableColumn id="55" xr3:uid="{41F2A922-00CE-49BE-BED9-33534B177C8A}" name="Column53" dataDxfId="519"/>
    <tableColumn id="56" xr3:uid="{7C5684D1-3D13-4282-BFDA-019DA6331FB5}" name="Column54" dataDxfId="518"/>
    <tableColumn id="57" xr3:uid="{565FA88E-FC9A-4430-9108-F79D966E6500}" name="Column55" dataDxfId="517"/>
    <tableColumn id="58" xr3:uid="{52229091-A6D1-4D60-A4B5-D5A0EBB1EBEC}" name="Column56" dataDxfId="516"/>
    <tableColumn id="59" xr3:uid="{C67EFDF0-09B8-45B2-B2A5-44D7AAFE89A6}" name="Column57" dataDxfId="515"/>
    <tableColumn id="60" xr3:uid="{1C1228A5-1F8C-4B7B-9873-9F368794076F}" name="Column58" dataDxfId="514"/>
    <tableColumn id="61" xr3:uid="{CC639D52-3E37-4B6F-B295-F6006F66319E}" name="Column59" dataDxfId="513"/>
    <tableColumn id="62" xr3:uid="{4E9EEFAC-A780-4AD8-A5A9-EFE53C479591}" name="Column60" dataDxfId="512"/>
    <tableColumn id="63" xr3:uid="{40A6F96C-A837-4E0A-B4FB-EE6DDA1CBDAD}" name="Column61" dataDxfId="511"/>
    <tableColumn id="64" xr3:uid="{55409EC3-E361-4175-ABB4-434732156E34}" name="Column62" dataDxfId="510"/>
    <tableColumn id="65" xr3:uid="{707D9C4E-D937-49C1-8223-5AC99C674D7A}" name="Column63" dataDxfId="509"/>
    <tableColumn id="66" xr3:uid="{3221FAA3-9A67-450A-85F0-06AF9EF5231A}" name="Column64" dataDxfId="508"/>
    <tableColumn id="67" xr3:uid="{C8E4940F-0588-4315-BB34-A74BAEB19092}" name="Column65" dataDxfId="507"/>
    <tableColumn id="68" xr3:uid="{9D61A87A-1208-48EC-B132-0AB1A6D81E46}" name="Column66" dataDxfId="506"/>
    <tableColumn id="69" xr3:uid="{F45F6DCE-E6C8-411A-814C-3F78F997953A}" name="Column67" dataDxfId="505"/>
    <tableColumn id="70" xr3:uid="{CD2DE3D2-5ABD-4780-8436-B64F97F4F7D5}" name="Column68" dataDxfId="504"/>
    <tableColumn id="71" xr3:uid="{51C89EEB-F723-486D-B483-DAFBADCB1CEE}" name="Column69" dataDxfId="503"/>
    <tableColumn id="72" xr3:uid="{5AEAA00B-6A69-414E-8F5A-FF0187937079}" name="Column70" dataDxfId="502"/>
    <tableColumn id="73" xr3:uid="{9F6B4ED4-CF0A-4B19-9C18-B705FA447350}" name="Column71" dataDxfId="501"/>
    <tableColumn id="74" xr3:uid="{1CD783EA-5D72-4941-B4E3-818864325842}" name="Column72" dataDxfId="500"/>
    <tableColumn id="75" xr3:uid="{ACAE008F-833D-4CD9-A441-E716AA9D9FBB}" name="Column73" dataDxfId="499"/>
    <tableColumn id="76" xr3:uid="{1F899A09-0760-4178-8C14-479229DAEDFC}" name="Column74" dataDxfId="498"/>
    <tableColumn id="77" xr3:uid="{28B5DC5D-2F2B-4193-83B0-979B327D3833}" name="Column75" dataDxfId="497"/>
    <tableColumn id="78" xr3:uid="{65267403-468C-4FA6-AD9B-52D313E79C2A}" name="Column76" dataDxfId="496"/>
    <tableColumn id="79" xr3:uid="{AADF7529-6E5C-4AE2-8583-41F02052A66D}" name="Column77" dataDxfId="495"/>
    <tableColumn id="80" xr3:uid="{27A6594A-064C-4D16-ACC8-D42EAB2F20A2}" name="Column78" dataDxfId="494"/>
    <tableColumn id="81" xr3:uid="{FE8C4B12-27C1-4212-A126-0D872B286919}" name="Column79" dataDxfId="493"/>
    <tableColumn id="82" xr3:uid="{BFAB65D5-41EA-46D3-B226-4F244BE03C0F}" name="Column80" dataDxfId="492"/>
    <tableColumn id="83" xr3:uid="{6F2D1C74-8C2C-4F1E-A727-37B7D2A80E72}" name="Column81" dataDxfId="491"/>
    <tableColumn id="84" xr3:uid="{FD0EEBD7-DA7A-484F-ABC5-61747679F31C}" name="Column82" dataDxfId="490"/>
    <tableColumn id="85" xr3:uid="{17842BED-6594-4278-BBD3-934B8142B04F}" name="Column83" dataDxfId="489"/>
    <tableColumn id="86" xr3:uid="{D15E03E4-BF43-4E30-8A28-55E48854D289}" name="Column84" dataDxfId="488"/>
    <tableColumn id="87" xr3:uid="{D5BCB9DE-EB0F-4675-AD3F-7F69516F5DDB}" name="Column85" dataDxfId="487"/>
    <tableColumn id="88" xr3:uid="{63DEE9D1-85EC-4670-AA5C-362B4756A7B0}" name="Column86" dataDxfId="486"/>
    <tableColumn id="89" xr3:uid="{B1DDE123-2F8A-427F-8447-0C14BA0E282F}" name="Column87" dataDxfId="485"/>
    <tableColumn id="90" xr3:uid="{EB448C6E-1CD7-4401-A955-8CE25F0D9FE5}" name="Column88" dataDxfId="484"/>
    <tableColumn id="91" xr3:uid="{10E2980C-C5E7-407F-AB8C-01A8E13CF881}" name="Column89" dataDxfId="483"/>
    <tableColumn id="92" xr3:uid="{626E99FF-01FA-4045-A9C3-22C49AB3F7DC}" name="Column90" dataDxfId="482"/>
    <tableColumn id="93" xr3:uid="{698B337C-9371-4361-B390-B00B49C8876B}" name="Column91" dataDxfId="48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40288E-451E-4C6A-A27B-53C6D5FDEF64}" name="Table3" displayName="Table3" ref="A21:CO38" totalsRowShown="0" headerRowDxfId="480" dataDxfId="479">
  <autoFilter ref="A21:CO38" xr:uid="{7F40288E-451E-4C6A-A27B-53C6D5FDEF64}"/>
  <tableColumns count="93">
    <tableColumn id="1" xr3:uid="{C6898231-6C4D-4F5B-AABB-BB054CFCD3B4}" name="Platform B" dataDxfId="478"/>
    <tableColumn id="2" xr3:uid="{2118DE62-9B5E-4F0E-9B96-F0BD6B6D5E42}" name="Column1" dataDxfId="477"/>
    <tableColumn id="3" xr3:uid="{8B7796A3-7203-4AB6-B912-46C156EEBD07}" name="Column2" dataDxfId="476"/>
    <tableColumn id="4" xr3:uid="{0AD11086-3449-49FB-94D5-9E3A8F6050B3}" name="Column3" dataDxfId="475"/>
    <tableColumn id="5" xr3:uid="{1CF99E33-28FE-483D-A23C-E6144619B366}" name="Column4" dataDxfId="474"/>
    <tableColumn id="6" xr3:uid="{8B114910-BA0A-492C-8D8D-C998CEC588A4}" name="Column5" dataDxfId="473"/>
    <tableColumn id="7" xr3:uid="{CCB5227E-38B2-425D-99D5-E28907AC1C89}" name="Column6" dataDxfId="472"/>
    <tableColumn id="8" xr3:uid="{88EE606B-D3D6-4C85-A582-28BE9B976A64}" name="Column7" dataDxfId="471"/>
    <tableColumn id="9" xr3:uid="{A783A39E-76F6-4118-AEC5-1832A201C072}" name="Column8" dataDxfId="470"/>
    <tableColumn id="10" xr3:uid="{5DD8CF2B-B238-47FC-88E5-D7581668CC99}" name="Column9" dataDxfId="469"/>
    <tableColumn id="11" xr3:uid="{ADD8D622-A17E-4B43-9D7F-7392EAB74E6C}" name="Column10" dataDxfId="468"/>
    <tableColumn id="12" xr3:uid="{65645CB5-1EB9-4FD1-8F8F-2999EF1A6520}" name="Column11" dataDxfId="467"/>
    <tableColumn id="13" xr3:uid="{BEA64D03-A1FB-4414-B8F0-43D6E20B2C96}" name="Column12" dataDxfId="466"/>
    <tableColumn id="14" xr3:uid="{8861D1EF-833F-4478-900A-860BC0DA5CD6}" name="Column13" dataDxfId="465"/>
    <tableColumn id="15" xr3:uid="{F34EE0F1-2EBF-43F9-AB0E-B394FFC60275}" name="Column14" dataDxfId="464"/>
    <tableColumn id="16" xr3:uid="{AEC3D081-27B2-4BE7-9521-4FCEE49DACEA}" name="Column15" dataDxfId="463"/>
    <tableColumn id="17" xr3:uid="{3DCB67DC-B12A-4955-93BD-71A63EA4274D}" name="Column16" dataDxfId="462"/>
    <tableColumn id="18" xr3:uid="{FF7501EE-D272-4559-9683-9F32F824F98F}" name="Column17" dataDxfId="461"/>
    <tableColumn id="19" xr3:uid="{AF9FF6E9-1142-4B38-9D86-6F18F426370E}" name="Column18" dataDxfId="460"/>
    <tableColumn id="20" xr3:uid="{013BB83D-A949-4AB9-8F0A-46E1F6A21B6A}" name="Column19" dataDxfId="459"/>
    <tableColumn id="21" xr3:uid="{51F214EA-DD1D-4BA3-BE2E-EE146DAC0F90}" name="Column20" dataDxfId="458"/>
    <tableColumn id="22" xr3:uid="{73653656-04A6-4C2B-BA7A-DE2A2AA97AEA}" name="Column21" dataDxfId="457"/>
    <tableColumn id="23" xr3:uid="{3AB16F50-9B1F-49D8-9D10-574D3E5831C8}" name="Column22" dataDxfId="456"/>
    <tableColumn id="24" xr3:uid="{BE2A130D-BCCF-4592-B895-1811EEF2CFB9}" name="Column23" dataDxfId="455"/>
    <tableColumn id="25" xr3:uid="{5B929809-3625-4BE7-B86A-22BB2C4F8174}" name="Column24" dataDxfId="454"/>
    <tableColumn id="26" xr3:uid="{F1A37815-BD65-42C9-A408-725E2D4D2608}" name="Column25" dataDxfId="453"/>
    <tableColumn id="27" xr3:uid="{C0793043-7F94-495B-A11D-62550DBBC29C}" name="Column26" dataDxfId="452"/>
    <tableColumn id="28" xr3:uid="{8A2BE338-2543-44B0-BBAB-8DEDF05E1D1E}" name="Column27" dataDxfId="451"/>
    <tableColumn id="29" xr3:uid="{4CC22A14-8DE7-44EE-9DD7-DB56821810CF}" name="Column28" dataDxfId="450"/>
    <tableColumn id="30" xr3:uid="{8FF8763A-5F29-455C-926D-AFCB3FAD9218}" name="Column29" dataDxfId="449"/>
    <tableColumn id="31" xr3:uid="{69DB7883-FFB7-4327-97E7-7BB6A3557480}" name="Column30" dataDxfId="448"/>
    <tableColumn id="32" xr3:uid="{A07EC732-B0F3-4B73-9A4A-8E4C4F551E5F}" name="Column31" dataDxfId="447"/>
    <tableColumn id="33" xr3:uid="{D46CB7A4-EC3F-4035-8A7C-50041BF4F9F1}" name="Column32" dataDxfId="446"/>
    <tableColumn id="34" xr3:uid="{0C3EFD74-BE64-4192-9268-9B6C569E1FD5}" name="Column33" dataDxfId="445"/>
    <tableColumn id="35" xr3:uid="{BA99DE3C-6F78-45EB-9398-B387D213EC0D}" name="Column34" dataDxfId="444"/>
    <tableColumn id="36" xr3:uid="{115227D3-3000-4B8A-A623-C79271E6DBA4}" name="Column35" dataDxfId="443"/>
    <tableColumn id="37" xr3:uid="{36CBE052-B26F-46E9-A7AA-0B93C5C8785C}" name="Column36" dataDxfId="442"/>
    <tableColumn id="38" xr3:uid="{94C68378-DC23-4BD1-B112-8008A38491F1}" name="Column37" dataDxfId="441"/>
    <tableColumn id="39" xr3:uid="{ACDAB40D-D17F-401E-8B35-D5A9BA519A4F}" name="Column38" dataDxfId="440"/>
    <tableColumn id="40" xr3:uid="{E4BCAC99-71A6-4AE7-9E38-9BF0CD47E3F8}" name="Column39" dataDxfId="439"/>
    <tableColumn id="41" xr3:uid="{0BE5C76F-A1F8-4A3D-8B59-67B0F511C752}" name="Column40" dataDxfId="438"/>
    <tableColumn id="42" xr3:uid="{1D989488-77A6-45D4-9F9E-8D8920B0D9B0}" name="Column41" dataDxfId="437"/>
    <tableColumn id="43" xr3:uid="{3A28891B-A834-4B9A-8A46-23CAD2F8C908}" name="Column42" dataDxfId="436"/>
    <tableColumn id="44" xr3:uid="{297426BF-8F07-4EB1-AD6D-5BBE312AF6CE}" name="Column43" dataDxfId="435"/>
    <tableColumn id="45" xr3:uid="{57600F3C-80DF-435B-B711-AEDC7DEEA988}" name="Column44" dataDxfId="434"/>
    <tableColumn id="46" xr3:uid="{F0C9E93F-B172-4FCA-BAAE-7EA702A9D663}" name="Column45" dataDxfId="433"/>
    <tableColumn id="47" xr3:uid="{A3D7BCE3-080C-4BF6-B0A6-679472E78221}" name="Column46" dataDxfId="432"/>
    <tableColumn id="48" xr3:uid="{3C98CE47-8E1E-4C37-8330-74A84F6A42AD}" name="Column47" dataDxfId="431"/>
    <tableColumn id="49" xr3:uid="{32D8116C-A171-491D-B4EA-FCCDEDA6BDC0}" name="Column48" dataDxfId="430"/>
    <tableColumn id="50" xr3:uid="{343984D7-BD14-474B-B77B-8C29DD0D4871}" name="Column49" dataDxfId="429"/>
    <tableColumn id="51" xr3:uid="{CB828B6E-858F-4B12-BEC4-D31BDB5A6A5A}" name="Column50" dataDxfId="428"/>
    <tableColumn id="52" xr3:uid="{030642D4-0FD5-476B-9C55-101EC7F26F6B}" name="Column51" dataDxfId="427"/>
    <tableColumn id="53" xr3:uid="{29E49CEB-568E-4233-81DD-7DD693ED956F}" name="Column52" dataDxfId="426"/>
    <tableColumn id="54" xr3:uid="{A1B5EE9D-C6A9-4CB7-9793-C36CB828AEF3}" name="Column53" dataDxfId="425"/>
    <tableColumn id="55" xr3:uid="{2D0217D0-FD2A-44DA-B853-9E51EA8CD216}" name="Column54" dataDxfId="424"/>
    <tableColumn id="56" xr3:uid="{7B47C900-9ACB-4B38-A53D-F49D4A9CB365}" name="Column55" dataDxfId="423"/>
    <tableColumn id="57" xr3:uid="{1926A639-39A3-4017-8F15-1F08B1977165}" name="Column56" dataDxfId="422"/>
    <tableColumn id="58" xr3:uid="{8F17B787-DD43-4B21-962B-DA75E3AA7AAC}" name="Column57" dataDxfId="421"/>
    <tableColumn id="59" xr3:uid="{055BD37C-2044-4F44-9D9F-462AB606DC18}" name="Column58" dataDxfId="420"/>
    <tableColumn id="60" xr3:uid="{32950456-C529-4295-AEDB-8D3A4621C147}" name="Column59" dataDxfId="419"/>
    <tableColumn id="61" xr3:uid="{DCA31ED1-7EAF-4298-86AB-90A422631F6E}" name="Column60" dataDxfId="418"/>
    <tableColumn id="62" xr3:uid="{6432BF36-7AB2-4B8C-98B1-03BE621797FC}" name="Column61" dataDxfId="417"/>
    <tableColumn id="63" xr3:uid="{D89A7031-3AAC-4A50-BAFB-A7CAA3E0514D}" name="Column62" dataDxfId="416"/>
    <tableColumn id="64" xr3:uid="{E9080ABD-8F3B-4CE8-B870-C03B2890F1CB}" name="Column63" dataDxfId="415"/>
    <tableColumn id="65" xr3:uid="{C3B3E07B-B156-4D0D-A3A3-BEEB9AE7787C}" name="Column64" dataDxfId="414"/>
    <tableColumn id="66" xr3:uid="{F775798B-0C43-4F38-A3B1-96EF054E1590}" name="Column65" dataDxfId="413"/>
    <tableColumn id="67" xr3:uid="{74B2A4CD-A04A-43D0-8D66-24E63DAE2D41}" name="Column66" dataDxfId="412"/>
    <tableColumn id="68" xr3:uid="{898F2197-BB58-4C92-AEC4-FEA364468EE9}" name="Column67" dataDxfId="411"/>
    <tableColumn id="69" xr3:uid="{777532F7-7E08-4169-9CCC-1BDD5EE5ED27}" name="Column68" dataDxfId="410"/>
    <tableColumn id="70" xr3:uid="{EA60747D-36CC-41DD-B448-B9749751B06F}" name="Column69" dataDxfId="409"/>
    <tableColumn id="71" xr3:uid="{DE256114-5E70-4F80-B62C-4404902DC39A}" name="Column70" dataDxfId="408"/>
    <tableColumn id="72" xr3:uid="{1763BEAE-1B02-46CB-B457-C786B579DA77}" name="Column71" dataDxfId="407"/>
    <tableColumn id="73" xr3:uid="{ABFC9338-F3C2-4BEA-ABE2-121C20EBCA30}" name="Column72" dataDxfId="406"/>
    <tableColumn id="74" xr3:uid="{F5EDDE80-FD93-4B9D-BB01-82BF883D1C01}" name="Column73" dataDxfId="405"/>
    <tableColumn id="75" xr3:uid="{A561081D-26D7-4B96-BDDE-8355BEA59D35}" name="Column74" dataDxfId="404"/>
    <tableColumn id="76" xr3:uid="{A012C7E5-943B-41CF-BD1F-2D4C78861E57}" name="Column75" dataDxfId="403"/>
    <tableColumn id="77" xr3:uid="{5EF0683D-36E4-4816-881E-93057142BDA8}" name="Column76" dataDxfId="402"/>
    <tableColumn id="78" xr3:uid="{665D6481-AF90-4A34-AE46-2C67B21B00BB}" name="Column77" dataDxfId="401"/>
    <tableColumn id="79" xr3:uid="{6F16EA75-FA3B-49A5-836B-69097C979774}" name="Column78" dataDxfId="400"/>
    <tableColumn id="80" xr3:uid="{FC8F1B35-7ACC-4A7D-8D0A-B61C13A2DFCE}" name="Column79" dataDxfId="399"/>
    <tableColumn id="81" xr3:uid="{C385EDAA-D5F7-49AA-B6F1-23DFC8B7FAE9}" name="Column80" dataDxfId="398"/>
    <tableColumn id="82" xr3:uid="{47D91C00-FDF7-44BA-9F32-900AB70EDAE6}" name="Column81" dataDxfId="397"/>
    <tableColumn id="83" xr3:uid="{E9C7C54E-8BAF-4369-8C1E-C577EA1FB505}" name="Column82" dataDxfId="396"/>
    <tableColumn id="84" xr3:uid="{F6376B82-9115-4B4A-B7B0-42BD9A49974E}" name="Column83" dataDxfId="395"/>
    <tableColumn id="85" xr3:uid="{C341348C-18C8-4EE1-AB45-6501B54ABB76}" name="Column84" dataDxfId="394"/>
    <tableColumn id="86" xr3:uid="{51597FB0-0A51-4480-A96F-CBACB74CA0DE}" name="Column85" dataDxfId="393"/>
    <tableColumn id="87" xr3:uid="{FBE88CED-5A8E-4869-9114-9A5715891D9A}" name="Column86" dataDxfId="392"/>
    <tableColumn id="88" xr3:uid="{FBF9D850-4729-4AD7-8C43-7AFAA3DF4F53}" name="Column87" dataDxfId="391"/>
    <tableColumn id="89" xr3:uid="{01A19A14-CC8F-4130-B581-B5306B2AB79F}" name="Column88" dataDxfId="390"/>
    <tableColumn id="90" xr3:uid="{88DA11E8-C730-4AEF-A5A5-540D2BE201C2}" name="Column89" dataDxfId="389"/>
    <tableColumn id="91" xr3:uid="{4B7CDAC3-2B1A-48AB-9E47-FD8F2D7F7F25}" name="Column90" dataDxfId="388"/>
    <tableColumn id="92" xr3:uid="{A13E7829-C57B-4F13-BA65-8BB8E66AC2A9}" name="Column91" dataDxfId="387"/>
    <tableColumn id="93" xr3:uid="{6CE14A43-344E-46BB-8E39-5027ECFEFDCA}" name="Column92" dataDxfId="38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F98820-CA8A-4E3E-8DA7-EA4A2EC13A07}" name="Table5" displayName="Table5" ref="A40:CO57" totalsRowShown="0" headerRowDxfId="385" dataDxfId="384">
  <autoFilter ref="A40:CO57" xr:uid="{F0F98820-CA8A-4E3E-8DA7-EA4A2EC13A07}"/>
  <tableColumns count="93">
    <tableColumn id="1" xr3:uid="{375FBF07-073F-4C30-84A6-537D71BEFBA5}" name="Platform C" dataDxfId="383"/>
    <tableColumn id="2" xr3:uid="{16DF8EDD-AC97-4FD5-B3BF-4E88DF3D2A37}" name="Column1" dataDxfId="382"/>
    <tableColumn id="3" xr3:uid="{4EAB9117-38B0-4584-9129-BACD04C8B9AD}" name="Column2" dataDxfId="381"/>
    <tableColumn id="4" xr3:uid="{5FC0EA6D-BF34-481E-A579-B2EE29C18A84}" name="Column3" dataDxfId="380"/>
    <tableColumn id="5" xr3:uid="{47DF45A5-2572-4148-9982-30B25E929243}" name="Column4" dataDxfId="379"/>
    <tableColumn id="6" xr3:uid="{6956D32F-A073-4E7B-94B3-BF36DC02BB05}" name="Column5" dataDxfId="378"/>
    <tableColumn id="7" xr3:uid="{4DD8067E-25AB-4601-AB27-9AEE6DF0380D}" name="Column6" dataDxfId="377"/>
    <tableColumn id="8" xr3:uid="{672885FE-B297-4E10-85FE-2FF324A2692C}" name="Column7" dataDxfId="376"/>
    <tableColumn id="9" xr3:uid="{B05D5F7C-20C7-40A2-A664-6EEEF08256A0}" name="Column8" dataDxfId="375"/>
    <tableColumn id="10" xr3:uid="{6899CCDA-11B9-4AAD-A0CB-ED87B1106221}" name="Column9" dataDxfId="374"/>
    <tableColumn id="11" xr3:uid="{6F4C4DF3-F128-43F6-922C-2AC4B2F28A5C}" name="Column10" dataDxfId="373"/>
    <tableColumn id="12" xr3:uid="{A02460D7-B028-40E2-ADD1-C7D9C3DECF15}" name="Column11" dataDxfId="372"/>
    <tableColumn id="13" xr3:uid="{E1A3BF38-339B-49E5-9214-3E2D92702355}" name="Column12" dataDxfId="371"/>
    <tableColumn id="14" xr3:uid="{79EF49F3-6F1F-4EC0-8107-0724DB8B8443}" name="Column13" dataDxfId="370"/>
    <tableColumn id="15" xr3:uid="{1D877DE7-0EF1-44CF-B359-BDFB8B73CA4B}" name="Column14" dataDxfId="369"/>
    <tableColumn id="16" xr3:uid="{395AB90B-0F5F-4FEF-8146-E570BCCBF59E}" name="Column15" dataDxfId="368"/>
    <tableColumn id="17" xr3:uid="{179FBA50-AC59-4A7E-BBA6-27DDA1F89B46}" name="Column16" dataDxfId="367"/>
    <tableColumn id="18" xr3:uid="{002411EB-2DE8-41D3-B699-CC3ACD5C40F1}" name="Column17" dataDxfId="366"/>
    <tableColumn id="19" xr3:uid="{F1484691-C3E4-4AF9-9EEE-E3A04C3D8D29}" name="Column18" dataDxfId="365"/>
    <tableColumn id="20" xr3:uid="{D54E6C14-1470-45D6-9380-BFDAA061C9C0}" name="Column19" dataDxfId="364"/>
    <tableColumn id="21" xr3:uid="{A3F90AE9-7AB3-4BDA-A28E-B23A0298EC15}" name="Column20" dataDxfId="363"/>
    <tableColumn id="22" xr3:uid="{8990301B-E9CC-483B-9694-89B853128956}" name="Column21" dataDxfId="362"/>
    <tableColumn id="23" xr3:uid="{08243623-202C-48CC-835C-10349C80B4D1}" name="Column22" dataDxfId="361"/>
    <tableColumn id="24" xr3:uid="{04A0FBCA-02E8-442D-AC64-60D3541AA46D}" name="Column23" dataDxfId="360"/>
    <tableColumn id="25" xr3:uid="{323BE95F-D16E-4627-8247-7B061B5487F4}" name="Column24" dataDxfId="359"/>
    <tableColumn id="26" xr3:uid="{C7C5E78E-60E5-4A63-8846-E5819E710647}" name="Column25" dataDxfId="358"/>
    <tableColumn id="27" xr3:uid="{BAC338E6-3A75-454B-8852-82299352BFC5}" name="Column26" dataDxfId="357"/>
    <tableColumn id="28" xr3:uid="{E4ECB4BD-2BF5-4B46-A0D0-46CB6541CE11}" name="Column27" dataDxfId="356"/>
    <tableColumn id="29" xr3:uid="{0174D4F5-F4AF-4AE6-BB3D-C10DE6DA6F78}" name="Column28" dataDxfId="355"/>
    <tableColumn id="30" xr3:uid="{F2EA8A74-E56C-4F72-BDD8-02B8F5E26A2F}" name="Column29" dataDxfId="354"/>
    <tableColumn id="31" xr3:uid="{8EBE9312-6664-48AE-A593-E381CFAD3CAD}" name="Column30" dataDxfId="353"/>
    <tableColumn id="32" xr3:uid="{3065DF47-B17E-4BFE-9BCB-B64A6BE37911}" name="Column31" dataDxfId="352"/>
    <tableColumn id="33" xr3:uid="{E7CF3E1E-5E7D-49A5-96AC-B2960CC816E1}" name="Column32" dataDxfId="351"/>
    <tableColumn id="34" xr3:uid="{A0D7EFBA-4196-44F6-8F49-9F5F3EC5B717}" name="Column33" dataDxfId="350"/>
    <tableColumn id="35" xr3:uid="{316B7527-8325-49EE-9226-5038CF6D71A1}" name="Column34" dataDxfId="349"/>
    <tableColumn id="36" xr3:uid="{74DA9158-81EC-45ED-BCE2-C628D6E73E84}" name="Column35" dataDxfId="348"/>
    <tableColumn id="37" xr3:uid="{09EC3AD5-41F7-4C26-A0B6-D5F2A1BDB628}" name="Column36" dataDxfId="347"/>
    <tableColumn id="38" xr3:uid="{4A6462C3-DE45-48A2-98F3-86C4223A68FF}" name="Column37" dataDxfId="346"/>
    <tableColumn id="39" xr3:uid="{DF61A1E5-4D07-45CA-A104-8994D60A42A9}" name="Column38" dataDxfId="345"/>
    <tableColumn id="40" xr3:uid="{012AEE1D-1851-4072-8829-E53C3001D5B3}" name="Column39" dataDxfId="344"/>
    <tableColumn id="41" xr3:uid="{E8141E20-B09C-4C7F-9FAE-55230D3A51AF}" name="Column40" dataDxfId="343"/>
    <tableColumn id="42" xr3:uid="{87414FC7-A223-4108-9576-A4DE35B708E9}" name="Column41" dataDxfId="342"/>
    <tableColumn id="43" xr3:uid="{C888C959-9449-430D-8EED-822FBDDFC792}" name="Column42" dataDxfId="341"/>
    <tableColumn id="44" xr3:uid="{3669A89F-1D84-49D9-841E-438A6CFFE1C8}" name="Column43" dataDxfId="340"/>
    <tableColumn id="45" xr3:uid="{5CDB73DE-6F71-4286-90C6-D470E158A248}" name="Column44" dataDxfId="339"/>
    <tableColumn id="46" xr3:uid="{9B567095-491A-481A-8CDD-DF9D28ED10EC}" name="Column45" dataDxfId="338"/>
    <tableColumn id="47" xr3:uid="{E9EC0019-18D7-448C-8E7A-E8C55EC2CD9D}" name="Column46" dataDxfId="337"/>
    <tableColumn id="48" xr3:uid="{9C8947DA-3957-4A4D-AF34-2D8ECA7BC845}" name="Column47" dataDxfId="336"/>
    <tableColumn id="49" xr3:uid="{22DE601D-1830-4ED9-95F5-EAD7EA5DB27B}" name="Column48" dataDxfId="335"/>
    <tableColumn id="50" xr3:uid="{6D71B2BE-96DD-417A-90E4-8828C07E6630}" name="Column49" dataDxfId="334"/>
    <tableColumn id="51" xr3:uid="{531C46BA-F247-4694-ADC3-AC7C5C5AC57E}" name="Column50" dataDxfId="333"/>
    <tableColumn id="52" xr3:uid="{EDE1CB11-135C-4E0E-96A2-FCE3F2D51196}" name="Column51" dataDxfId="332"/>
    <tableColumn id="53" xr3:uid="{875C3288-5CC0-4A73-934F-ABE77400C84D}" name="Column52" dataDxfId="331"/>
    <tableColumn id="54" xr3:uid="{32BA312C-CC9C-4771-BA68-AC0A26221A01}" name="Column53" dataDxfId="330"/>
    <tableColumn id="55" xr3:uid="{FDF28021-6337-4107-BDCF-A9D8B69A9CAE}" name="Column54" dataDxfId="329"/>
    <tableColumn id="56" xr3:uid="{D43C4831-685A-461B-984E-91E5BF15EB87}" name="Column55" dataDxfId="328"/>
    <tableColumn id="57" xr3:uid="{0092EB6E-4A16-4ACD-989A-4E57EE44A7A8}" name="Column56" dataDxfId="327"/>
    <tableColumn id="58" xr3:uid="{5F664E34-0EAD-4F3E-A097-1E9CA0CA2D34}" name="Column57" dataDxfId="326"/>
    <tableColumn id="59" xr3:uid="{5C36DDC4-637D-4DF1-8B7D-B809837FAB0F}" name="Column58" dataDxfId="325"/>
    <tableColumn id="60" xr3:uid="{90FA18E7-7FB5-42A9-BA2F-553A7CBFEB71}" name="Column59" dataDxfId="324"/>
    <tableColumn id="61" xr3:uid="{6D41F776-9B5E-4612-91AE-C47C274AF3CA}" name="Column60" dataDxfId="323"/>
    <tableColumn id="62" xr3:uid="{24FE7C44-56D4-46B2-8A3A-1D0A5F9E371E}" name="Column61" dataDxfId="322"/>
    <tableColumn id="63" xr3:uid="{0F11E3CC-71F2-4494-9E21-DB81439A4236}" name="Column62" dataDxfId="321"/>
    <tableColumn id="64" xr3:uid="{0FFF2A74-9018-4D07-B1F6-1EAB8EDF56E5}" name="Column63" dataDxfId="320"/>
    <tableColumn id="65" xr3:uid="{B03A23AA-1FC5-407E-B915-AE7C2FFC7E50}" name="Column64" dataDxfId="319"/>
    <tableColumn id="66" xr3:uid="{6223805A-10DC-4B74-80AD-A12C0FF63C50}" name="Column65" dataDxfId="318"/>
    <tableColumn id="67" xr3:uid="{42A4C690-6849-41AE-9F33-34E5CCBA2DFD}" name="Column66" dataDxfId="317"/>
    <tableColumn id="68" xr3:uid="{34D65647-2F80-417B-9DFD-A349C98B00B3}" name="Column67" dataDxfId="316"/>
    <tableColumn id="69" xr3:uid="{F20AFEBB-C518-4006-ABFB-B0BD160BDB6C}" name="Column68" dataDxfId="315"/>
    <tableColumn id="70" xr3:uid="{C21AEC37-6F10-4592-84BE-9EF184A56CCC}" name="Column69" dataDxfId="314"/>
    <tableColumn id="71" xr3:uid="{20947311-8EA1-419E-837E-0A62747DE941}" name="Column70" dataDxfId="313"/>
    <tableColumn id="72" xr3:uid="{635627B3-9D80-4279-BE28-815E4AF9FBC8}" name="Column71" dataDxfId="312"/>
    <tableColumn id="73" xr3:uid="{10D7B4D8-4079-4360-9C02-8BB9CC969F0A}" name="Column72" dataDxfId="311"/>
    <tableColumn id="74" xr3:uid="{63CE3029-352E-41FA-AE02-EABADEA39D9F}" name="Column73" dataDxfId="310"/>
    <tableColumn id="75" xr3:uid="{6459ED0A-64BC-413C-A3A7-8261F1416F9F}" name="Column74" dataDxfId="309"/>
    <tableColumn id="76" xr3:uid="{C57687F2-A453-43E6-8C05-BA4A0BC33ADC}" name="Column75" dataDxfId="308"/>
    <tableColumn id="77" xr3:uid="{B562D6EA-A9D2-4C05-84FD-5AB8A63E5780}" name="Column76" dataDxfId="307"/>
    <tableColumn id="78" xr3:uid="{782D7998-68BE-4E54-B5C9-0575B0F84B48}" name="Column77" dataDxfId="306"/>
    <tableColumn id="79" xr3:uid="{C1CAEC80-8183-42A1-BF1C-B19475F36385}" name="Column78" dataDxfId="305"/>
    <tableColumn id="80" xr3:uid="{DF6DBB21-3772-44D4-A48C-7143A47943B1}" name="Column79" dataDxfId="304"/>
    <tableColumn id="81" xr3:uid="{E59CF64C-10FC-449D-B80E-8CB4ED67BBE4}" name="Column80" dataDxfId="303"/>
    <tableColumn id="82" xr3:uid="{EDB73DE5-0FCD-425D-9B9A-81211151D9DD}" name="Column81" dataDxfId="302"/>
    <tableColumn id="83" xr3:uid="{C0744700-1021-47FB-82D6-57AB8FF1C934}" name="Column82" dataDxfId="301"/>
    <tableColumn id="84" xr3:uid="{E0B3CF7B-D924-40F9-BC30-845607C1B158}" name="Column83" dataDxfId="300"/>
    <tableColumn id="85" xr3:uid="{BB4C4B5A-7582-48B5-BF9A-F52C7D543F64}" name="Column84" dataDxfId="299"/>
    <tableColumn id="86" xr3:uid="{3FE35987-509E-4063-935B-D8810B7B8722}" name="Column85" dataDxfId="298"/>
    <tableColumn id="87" xr3:uid="{E5BB7258-A114-41E0-88A2-3F63153B09B5}" name="Column86" dataDxfId="297"/>
    <tableColumn id="88" xr3:uid="{0FEACA5D-DF58-4D7D-A212-B2592602E77F}" name="Column87" dataDxfId="296"/>
    <tableColumn id="89" xr3:uid="{C8C335A7-0CAA-4C19-B41F-AB47F07DC762}" name="Column88" dataDxfId="295"/>
    <tableColumn id="90" xr3:uid="{CBC6F78F-F336-41EB-B4DC-8EDCE65AD5DD}" name="Column89" dataDxfId="294"/>
    <tableColumn id="91" xr3:uid="{45991ED4-6961-4AF4-85D3-A0FC8B739770}" name="Column90" dataDxfId="293"/>
    <tableColumn id="92" xr3:uid="{A2C339A5-BB25-4805-8EC4-79F971375DAE}" name="Column91" dataDxfId="292"/>
    <tableColumn id="93" xr3:uid="{783B33A1-5B7C-4E44-8F1D-343B250FDC9E}" name="Column92" dataDxfId="29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ACD912-173C-4816-AA62-0FC6294B4BEC}" name="Table7" displayName="Table7" ref="A59:CO76" totalsRowShown="0" headerRowDxfId="290" dataDxfId="289">
  <autoFilter ref="A59:CO76" xr:uid="{60ACD912-173C-4816-AA62-0FC6294B4BEC}"/>
  <tableColumns count="93">
    <tableColumn id="1" xr3:uid="{AEA76B96-ADC8-4973-8E85-1252475313B3}" name="Platform D" dataDxfId="288"/>
    <tableColumn id="2" xr3:uid="{39865F5F-DA3B-4E08-AC19-E68CE489E17B}" name="Column1" dataDxfId="287"/>
    <tableColumn id="3" xr3:uid="{B7DBE7D7-AE49-45D8-B183-4B775A87AA16}" name="Column2" dataDxfId="286"/>
    <tableColumn id="4" xr3:uid="{7B070468-C464-4B91-9675-73518FF1C35F}" name="Column3" dataDxfId="285"/>
    <tableColumn id="5" xr3:uid="{DAA6F123-7773-49F3-A2ED-6D0E840E0633}" name="Column4" dataDxfId="284"/>
    <tableColumn id="6" xr3:uid="{222F46B9-133B-438A-93C6-EE3B2A4B6201}" name="Column5" dataDxfId="283"/>
    <tableColumn id="7" xr3:uid="{B5691B52-A42D-4E8A-B466-F26A238FAFD3}" name="Column6" dataDxfId="282"/>
    <tableColumn id="8" xr3:uid="{48A63FA5-676C-47BD-B79C-5353DABE6660}" name="Column7" dataDxfId="281"/>
    <tableColumn id="9" xr3:uid="{8E72230D-9C6C-4B7F-BF7E-36F11E34A955}" name="Column8" dataDxfId="280"/>
    <tableColumn id="10" xr3:uid="{037A6698-7439-43AA-93AB-1C1A50072169}" name="Column9" dataDxfId="279"/>
    <tableColumn id="11" xr3:uid="{5C80498A-A485-4AED-8F39-90F845590BB3}" name="Column10" dataDxfId="278"/>
    <tableColumn id="12" xr3:uid="{A743F5B7-B9B7-4A88-BB6F-2014A7E7E3C2}" name="Column11" dataDxfId="277"/>
    <tableColumn id="13" xr3:uid="{73970DF6-86CA-4B15-AF89-721ADAF16B1B}" name="Column12" dataDxfId="276"/>
    <tableColumn id="14" xr3:uid="{94FCF657-3B7C-4A6F-85BD-33B7702ABCB3}" name="Column13" dataDxfId="275"/>
    <tableColumn id="15" xr3:uid="{609E6B08-412D-4C31-9E52-CEAA2EB8B00A}" name="Column14" dataDxfId="274"/>
    <tableColumn id="16" xr3:uid="{0D8FC36F-2759-4F4E-9B09-066D15B75FBF}" name="Column15" dataDxfId="273"/>
    <tableColumn id="17" xr3:uid="{14491E85-6E10-461A-BE76-4D1227CDBB3A}" name="Column16" dataDxfId="272"/>
    <tableColumn id="18" xr3:uid="{75AFE2D2-E1D5-4029-A812-E0460A368C26}" name="Column17" dataDxfId="271"/>
    <tableColumn id="19" xr3:uid="{7F12AB61-C4E9-4186-A530-A58B5C1E782F}" name="Column18" dataDxfId="270"/>
    <tableColumn id="20" xr3:uid="{78A0EE18-684C-4BD2-AA38-3AD80DFC3C4E}" name="Column19" dataDxfId="269"/>
    <tableColumn id="21" xr3:uid="{F3BC5BA7-CA69-4300-8C7A-5666533F8237}" name="Column20" dataDxfId="268"/>
    <tableColumn id="22" xr3:uid="{F54ECED9-E7F9-4874-BFA4-569DC2637C1E}" name="Column21" dataDxfId="267"/>
    <tableColumn id="23" xr3:uid="{DBE7AE4B-08C9-42B8-9A3D-8FD08503F8FD}" name="Column22" dataDxfId="266"/>
    <tableColumn id="24" xr3:uid="{FAEADB65-5823-456D-ABAC-5A7FD121FE57}" name="Column23" dataDxfId="265"/>
    <tableColumn id="25" xr3:uid="{B906A788-2E7D-4A4E-A50F-4C3F71FC10D9}" name="Column24" dataDxfId="264"/>
    <tableColumn id="26" xr3:uid="{0C9A2F85-C5F5-445B-BB6C-88C7D45FE8AC}" name="Column25" dataDxfId="263"/>
    <tableColumn id="27" xr3:uid="{D89383E7-13E9-4EA2-B9DE-0F35B309F59C}" name="Column26" dataDxfId="262"/>
    <tableColumn id="28" xr3:uid="{89083DBA-0F42-498F-90DC-856AE8701B62}" name="Column27" dataDxfId="261"/>
    <tableColumn id="29" xr3:uid="{61E515E3-A4D8-4C05-8A22-5ABBCAE69CF4}" name="Column28" dataDxfId="260"/>
    <tableColumn id="30" xr3:uid="{6A7BBF55-073D-401E-A681-86E06606B9E6}" name="Column29" dataDxfId="259"/>
    <tableColumn id="31" xr3:uid="{3DE6EAD8-3A21-41A7-AF7D-D7E00B076011}" name="Column30" dataDxfId="258"/>
    <tableColumn id="32" xr3:uid="{C8F863F8-6E0C-4420-A273-458845FABE36}" name="Column31" dataDxfId="257"/>
    <tableColumn id="33" xr3:uid="{BDB558E0-7A74-4E68-A2BF-499C57D4BF5D}" name="Column32" dataDxfId="256"/>
    <tableColumn id="34" xr3:uid="{C00134FD-A8D9-4E95-BA07-1C873738F5FD}" name="Column33" dataDxfId="255"/>
    <tableColumn id="35" xr3:uid="{B1CADC77-B364-4F9C-BE57-5211408AF694}" name="Column34" dataDxfId="254"/>
    <tableColumn id="36" xr3:uid="{66159ECD-6686-4237-AA62-A5075F2B1A67}" name="Column35" dataDxfId="253"/>
    <tableColumn id="37" xr3:uid="{23A1762A-37A2-4FC3-86FD-CBABA0B0F0F6}" name="Column36" dataDxfId="252"/>
    <tableColumn id="38" xr3:uid="{51C202E2-DFC1-4BD9-85EE-3240F56C32EB}" name="Column37" dataDxfId="251"/>
    <tableColumn id="39" xr3:uid="{3EABA59D-6559-4EA5-B198-D8B12C024BF8}" name="Column38" dataDxfId="250"/>
    <tableColumn id="40" xr3:uid="{C7DC956E-D7FE-47D2-AA2B-C2479513ACF6}" name="Column39" dataDxfId="249"/>
    <tableColumn id="41" xr3:uid="{2551F9A8-BE7E-4A62-84E2-635AC3086E9A}" name="Column40" dataDxfId="248"/>
    <tableColumn id="42" xr3:uid="{8FA7AA04-EF07-4674-A3F7-26CA8730C7E1}" name="Column41" dataDxfId="247"/>
    <tableColumn id="43" xr3:uid="{50048CC9-07AA-41DE-908E-E3849CF7C113}" name="Column42" dataDxfId="246"/>
    <tableColumn id="44" xr3:uid="{ACCA02DD-0804-4A3E-B430-6A4F47CEBE78}" name="Column43" dataDxfId="245"/>
    <tableColumn id="45" xr3:uid="{CB74DD65-1496-47EA-BFF2-BB3A1620B0F2}" name="Column44" dataDxfId="244"/>
    <tableColumn id="46" xr3:uid="{E00948F7-D2F5-4B77-B1E4-A71566AB377D}" name="Column45" dataDxfId="243"/>
    <tableColumn id="47" xr3:uid="{ECCC9919-0D4B-4B9A-BC4E-28522CF34154}" name="Column46" dataDxfId="242"/>
    <tableColumn id="48" xr3:uid="{9E159E2B-126B-4B2A-AEE8-40D9B13F8768}" name="Column47" dataDxfId="241"/>
    <tableColumn id="49" xr3:uid="{8F6F54E3-73E2-4547-BFBC-3EE2C4F1EC5B}" name="Column48" dataDxfId="240"/>
    <tableColumn id="50" xr3:uid="{ABA6A7A4-5ABB-4E09-864B-76991BAD0B8F}" name="Column49" dataDxfId="239"/>
    <tableColumn id="51" xr3:uid="{B39D5033-8148-4126-A39B-2A7CD31EE638}" name="Column50" dataDxfId="238"/>
    <tableColumn id="52" xr3:uid="{38D149A6-6F47-430B-A945-B8A6C4AF420B}" name="Column51" dataDxfId="237"/>
    <tableColumn id="53" xr3:uid="{64A3D787-08EE-4B55-A323-921D28E3DFAA}" name="Column52" dataDxfId="236"/>
    <tableColumn id="54" xr3:uid="{169CC68C-FD8F-40C7-A669-9DB29A7DDAA1}" name="Column53" dataDxfId="235"/>
    <tableColumn id="55" xr3:uid="{4D408031-22DD-4166-955A-393DB5A63F57}" name="Column54" dataDxfId="234"/>
    <tableColumn id="56" xr3:uid="{18557BA1-ED44-4BE3-A179-E1580A1BF3C5}" name="Column55" dataDxfId="233"/>
    <tableColumn id="57" xr3:uid="{95230CBB-DD96-4287-ACA3-BB26C5FA74E1}" name="Column56" dataDxfId="232"/>
    <tableColumn id="58" xr3:uid="{76A29A26-F8E1-40FE-B604-BE17BA2E836B}" name="Column57" dataDxfId="231"/>
    <tableColumn id="59" xr3:uid="{B9330958-8439-4E6D-B2CF-F71934016C23}" name="Column58" dataDxfId="230"/>
    <tableColumn id="60" xr3:uid="{A33BC350-23A5-4931-ACCC-B15E8442C93C}" name="Column59" dataDxfId="229"/>
    <tableColumn id="61" xr3:uid="{9803A8F2-5626-477A-9D2C-271430DF2126}" name="Column60" dataDxfId="228"/>
    <tableColumn id="62" xr3:uid="{734DBC41-E67B-4D28-90D3-78C144DC9891}" name="Column61" dataDxfId="227"/>
    <tableColumn id="63" xr3:uid="{C0EFC182-C8D8-4355-84D1-AF73C9382716}" name="Column62" dataDxfId="226"/>
    <tableColumn id="64" xr3:uid="{10D7FC4E-D9BC-4051-8A0A-5BD8827B8763}" name="Column63" dataDxfId="225"/>
    <tableColumn id="65" xr3:uid="{7AC3383B-78ED-4C6C-A0FD-BAC06BA6763A}" name="Column64" dataDxfId="224"/>
    <tableColumn id="66" xr3:uid="{1303AF37-1F74-48B7-B112-81C938641179}" name="Column65" dataDxfId="223"/>
    <tableColumn id="67" xr3:uid="{4E0932DD-E573-4929-8F82-9B5D52DFB8DF}" name="Column66" dataDxfId="222"/>
    <tableColumn id="68" xr3:uid="{B478D03F-624F-4DF5-9183-F06A6C4D80A7}" name="Column67" dataDxfId="221"/>
    <tableColumn id="69" xr3:uid="{478168D7-543F-45C9-89D6-8833FCCD98EF}" name="Column68" dataDxfId="220"/>
    <tableColumn id="70" xr3:uid="{DA4D927E-AAEC-4538-BDD1-1EAF071AFB0A}" name="Column69" dataDxfId="219"/>
    <tableColumn id="71" xr3:uid="{1768BA45-8C42-4776-A874-7981891A3557}" name="Column70" dataDxfId="218"/>
    <tableColumn id="72" xr3:uid="{28036B01-A4DD-41F0-A3E2-3C2EC7F90C75}" name="Column71" dataDxfId="217"/>
    <tableColumn id="73" xr3:uid="{2FEE0A8F-9796-44D9-8205-94745747C267}" name="Column72" dataDxfId="216"/>
    <tableColumn id="74" xr3:uid="{9B026785-FF00-44AB-84AA-7D06ED96DA4D}" name="Column73" dataDxfId="215"/>
    <tableColumn id="75" xr3:uid="{5AFC80AC-2D56-4B3D-8B8D-0D143F2F11B2}" name="Column74" dataDxfId="214"/>
    <tableColumn id="76" xr3:uid="{B99EDB82-7339-483A-B189-E81CC0788050}" name="Column75" dataDxfId="213"/>
    <tableColumn id="77" xr3:uid="{D1EDFFE7-918B-4E12-A806-98667720BDA0}" name="Column76" dataDxfId="212"/>
    <tableColumn id="78" xr3:uid="{3327EF8D-B9BB-433B-9E44-6C2A35D5A9D3}" name="Column77" dataDxfId="211"/>
    <tableColumn id="79" xr3:uid="{B89DF556-3D5C-4082-A041-D43A4C405A03}" name="Column78" dataDxfId="210"/>
    <tableColumn id="80" xr3:uid="{1C9721DC-AA9E-457F-9836-9D3BF31059B5}" name="Column79" dataDxfId="209"/>
    <tableColumn id="81" xr3:uid="{A40DA00B-949C-46B2-A567-1631DDFF9AF4}" name="Column80" dataDxfId="208"/>
    <tableColumn id="82" xr3:uid="{88CE95A2-5278-4962-879E-F26326F2E448}" name="Column81" dataDxfId="207"/>
    <tableColumn id="83" xr3:uid="{18BEE551-9587-422E-BE6F-E8C7FEF2A145}" name="Column82" dataDxfId="206"/>
    <tableColumn id="84" xr3:uid="{ABECC1B3-F9E1-4E58-AEFB-7993E7B89DCB}" name="Column83" dataDxfId="205"/>
    <tableColumn id="85" xr3:uid="{29E02FEB-9ED2-480E-A05B-6B924AF1A321}" name="Column84" dataDxfId="204"/>
    <tableColumn id="86" xr3:uid="{CE2B0586-5E2A-4BB4-95E4-B74EFE5F86AA}" name="Column85" dataDxfId="203"/>
    <tableColumn id="87" xr3:uid="{D381DF39-6E56-4D95-BFC7-11589F639924}" name="Column86" dataDxfId="202"/>
    <tableColumn id="88" xr3:uid="{92313328-8665-4C38-A81B-77A191B652CB}" name="Column87" dataDxfId="201"/>
    <tableColumn id="89" xr3:uid="{5B81F654-0E81-432A-9FFE-E278811190F3}" name="Column88" dataDxfId="200"/>
    <tableColumn id="90" xr3:uid="{DF4DE27E-2E5C-4564-9668-72254C622ABD}" name="Column89" dataDxfId="199"/>
    <tableColumn id="91" xr3:uid="{0EC5048B-EBDE-488F-AA48-54B74BDBF837}" name="Column90" dataDxfId="198"/>
    <tableColumn id="92" xr3:uid="{1335B1C0-2A87-4C67-B7A9-B792A8B7D950}" name="Column91" dataDxfId="197"/>
    <tableColumn id="93" xr3:uid="{5048B7BE-E4D9-4E56-B582-4D85D6240E77}" name="Column92" dataDxfId="19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E113ED4-2B04-4BC6-B055-70B647A3DF08}" name="Table9" displayName="Table9" ref="A78:CO95" totalsRowShown="0" headerRowDxfId="195" dataDxfId="194">
  <autoFilter ref="A78:CO95" xr:uid="{CE113ED4-2B04-4BC6-B055-70B647A3DF08}"/>
  <tableColumns count="93">
    <tableColumn id="1" xr3:uid="{3F7A9028-32C6-4F03-9D42-BE5A36C3D0AF}" name="Platform E" dataDxfId="193"/>
    <tableColumn id="2" xr3:uid="{6729AB39-6EB5-4648-BA81-956001837D99}" name="Column1" dataDxfId="192"/>
    <tableColumn id="3" xr3:uid="{25094FE1-C62C-4C00-A166-50CE701C4D13}" name="Column2" dataDxfId="191"/>
    <tableColumn id="4" xr3:uid="{E19D1107-6891-4F80-83C6-C4AE3758BC24}" name="Column3" dataDxfId="190"/>
    <tableColumn id="5" xr3:uid="{A0A29572-80A7-447C-9B09-56659335079E}" name="Column4" dataDxfId="189"/>
    <tableColumn id="6" xr3:uid="{DAF9DBD1-F54A-44CB-A042-DC0594D54978}" name="Column5" dataDxfId="188"/>
    <tableColumn id="7" xr3:uid="{6F816440-CAE5-4FC5-A05D-B20F5DFAB441}" name="Column6" dataDxfId="187"/>
    <tableColumn id="8" xr3:uid="{5B42F1DE-C2AD-470B-9D99-3477E0F5673B}" name="Column7" dataDxfId="186"/>
    <tableColumn id="9" xr3:uid="{0DDF64D7-41D1-47F2-8BA6-452FE8C5D9B9}" name="Column8" dataDxfId="185"/>
    <tableColumn id="10" xr3:uid="{086B68F2-5837-4B69-BD9C-38C4DE1B9007}" name="Column9" dataDxfId="184"/>
    <tableColumn id="11" xr3:uid="{74E8DE9C-52E2-4C61-B91D-DB7192AD5DF5}" name="Column10" dataDxfId="183"/>
    <tableColumn id="12" xr3:uid="{0BA67539-9EEA-4278-9C28-3E33B00330D8}" name="Column11" dataDxfId="182"/>
    <tableColumn id="13" xr3:uid="{4AF1D5E7-C2BF-4AB0-BBD1-2B0E0F6DC771}" name="Column12" dataDxfId="181"/>
    <tableColumn id="14" xr3:uid="{1EE6DBFC-35BD-4121-9214-CCC9F5D56B6F}" name="Column13" dataDxfId="180"/>
    <tableColumn id="15" xr3:uid="{AEBC3954-5FA7-4963-A5C8-6B589140AEE1}" name="Column14" dataDxfId="179"/>
    <tableColumn id="16" xr3:uid="{5AD27893-7B89-42B6-A785-234806FE618A}" name="Column15" dataDxfId="178"/>
    <tableColumn id="17" xr3:uid="{2C89CDC9-C27B-4944-9886-AB4B87AE3218}" name="Column16" dataDxfId="177"/>
    <tableColumn id="18" xr3:uid="{1EB1A924-7BBA-41BE-91B8-7BDDF9EF6731}" name="Column17" dataDxfId="176"/>
    <tableColumn id="19" xr3:uid="{B17CBA66-459F-4C3E-B97D-8D6F04BED3BE}" name="Column18" dataDxfId="175"/>
    <tableColumn id="20" xr3:uid="{2774BE3D-8823-404A-9908-77A693998EF9}" name="Column19" dataDxfId="174"/>
    <tableColumn id="21" xr3:uid="{AAFEF3E0-5C6D-4C46-B6F0-A08E7F8B4A54}" name="Column20" dataDxfId="173"/>
    <tableColumn id="22" xr3:uid="{BFFA9B80-5928-4936-A553-649E00DA8E5C}" name="Column21" dataDxfId="172"/>
    <tableColumn id="23" xr3:uid="{D5774988-BC3E-4B8A-A02B-65D5473942A4}" name="Column22" dataDxfId="171"/>
    <tableColumn id="24" xr3:uid="{A48F0E42-B3D6-47AC-B854-5884C51B394D}" name="Column23" dataDxfId="170"/>
    <tableColumn id="25" xr3:uid="{546E2F1F-D3F7-4FCD-AD29-CB441E5143E7}" name="Column24" dataDxfId="169"/>
    <tableColumn id="26" xr3:uid="{1EE1B5C1-5C51-446D-8617-8119B8D6158F}" name="Column25" dataDxfId="168"/>
    <tableColumn id="27" xr3:uid="{DDE9C06B-C199-4EC2-B209-B88C7D8BAFB5}" name="Column26" dataDxfId="167"/>
    <tableColumn id="28" xr3:uid="{50338DC1-262B-4F2E-B992-F8AB550418D9}" name="Column27" dataDxfId="166"/>
    <tableColumn id="29" xr3:uid="{24F30584-C805-485F-910D-1CCB59989771}" name="Column28" dataDxfId="165"/>
    <tableColumn id="30" xr3:uid="{67917117-7F59-4A2C-9CFF-82B81BB4B3F6}" name="Column29" dataDxfId="164"/>
    <tableColumn id="31" xr3:uid="{3D90E159-145B-4B4D-B644-0C5C06408CB3}" name="Column30" dataDxfId="163"/>
    <tableColumn id="32" xr3:uid="{70A28BDD-5E3B-440C-A67B-80D139FBA489}" name="Column31" dataDxfId="162"/>
    <tableColumn id="33" xr3:uid="{BDA3EE14-B6F5-4EE6-8396-95A4D9617D7A}" name="Column32" dataDxfId="161"/>
    <tableColumn id="34" xr3:uid="{0918BAB6-6582-40AF-9792-A2F06FB4E2BE}" name="Column33" dataDxfId="160"/>
    <tableColumn id="35" xr3:uid="{B72853B0-B1F8-42C5-BB6E-D0D51039D02C}" name="Column34" dataDxfId="159"/>
    <tableColumn id="36" xr3:uid="{BDC1ACCE-50D1-407B-9428-0C83B0A1DCF8}" name="Column35" dataDxfId="158"/>
    <tableColumn id="37" xr3:uid="{B299FD61-CDD5-4DF1-9525-ACAED970C999}" name="Column36" dataDxfId="157"/>
    <tableColumn id="38" xr3:uid="{DB105A6F-E18D-49C2-9CBA-3620B1010080}" name="Column37" dataDxfId="156"/>
    <tableColumn id="39" xr3:uid="{0F82535E-A406-4753-81D0-26B46204D2D8}" name="Column38" dataDxfId="155"/>
    <tableColumn id="40" xr3:uid="{E3D24ED5-4DE1-496C-8BC6-EDC3AD94884D}" name="Column39" dataDxfId="154"/>
    <tableColumn id="41" xr3:uid="{3DE6087B-E105-4A04-9163-042C6565F30C}" name="Column40" dataDxfId="153"/>
    <tableColumn id="42" xr3:uid="{140E714B-54DC-4D52-8DB7-32C0459C1A3D}" name="Column41" dataDxfId="152"/>
    <tableColumn id="43" xr3:uid="{F82AB4C0-908C-4B6F-A7AF-384761B47ACA}" name="Column42" dataDxfId="151"/>
    <tableColumn id="44" xr3:uid="{130243CD-1E69-408C-BB62-F0AE9F6C8E04}" name="Column43" dataDxfId="150"/>
    <tableColumn id="45" xr3:uid="{50846450-9CF7-4200-8F9C-B11DB8545CBF}" name="Column44" dataDxfId="149"/>
    <tableColumn id="46" xr3:uid="{75C4D079-C281-4804-93AF-BAA28DCE6DBD}" name="Column45" dataDxfId="148"/>
    <tableColumn id="47" xr3:uid="{F50E10E8-F051-4069-9502-465885E785F1}" name="Column46" dataDxfId="147"/>
    <tableColumn id="48" xr3:uid="{9DEE69B7-7633-447B-BD38-798A26FC6015}" name="Column47" dataDxfId="146"/>
    <tableColumn id="49" xr3:uid="{7ADB9BF0-14BA-456A-8A5D-76FA844D4291}" name="Column48" dataDxfId="145"/>
    <tableColumn id="50" xr3:uid="{01175F92-4816-437A-A35D-9E58E51B9083}" name="Column49" dataDxfId="144"/>
    <tableColumn id="51" xr3:uid="{A8E97688-106F-414B-9077-07F7BC0C29EA}" name="Column50" dataDxfId="143"/>
    <tableColumn id="52" xr3:uid="{1FE005A7-93E1-461D-ADE0-C6F4DB8CFF92}" name="Column51" dataDxfId="142"/>
    <tableColumn id="53" xr3:uid="{32FD49E8-3F84-4B76-A846-89163CC261FB}" name="Column52" dataDxfId="141"/>
    <tableColumn id="54" xr3:uid="{A6914696-F443-4EB0-86EE-90DFDCCB7AC9}" name="Column53" dataDxfId="140"/>
    <tableColumn id="55" xr3:uid="{D195FCDA-124A-443C-865B-38DA5F61BF3B}" name="Column54" dataDxfId="139"/>
    <tableColumn id="56" xr3:uid="{6B22CA58-8E64-4660-8EC4-353687B6BBD6}" name="Column55" dataDxfId="138"/>
    <tableColumn id="57" xr3:uid="{4A9E5D7D-4DB2-4ABD-949C-C6EDA39AA353}" name="Column56" dataDxfId="137"/>
    <tableColumn id="58" xr3:uid="{7569961F-95F3-4B2E-93DE-F63E233AB8AB}" name="Column57" dataDxfId="136"/>
    <tableColumn id="59" xr3:uid="{6DC61EFB-AAE4-4D25-9DE0-43A348F50D6C}" name="Column58" dataDxfId="135"/>
    <tableColumn id="60" xr3:uid="{15877BE9-CCF1-498A-905E-590AFFE1F9E5}" name="Column59" dataDxfId="134"/>
    <tableColumn id="61" xr3:uid="{D2490D0B-85CD-4DED-ACFC-1C0C345ACB98}" name="Column60" dataDxfId="133"/>
    <tableColumn id="62" xr3:uid="{72A8E365-A2C6-4733-925D-7910CF971A56}" name="Column61" dataDxfId="132"/>
    <tableColumn id="63" xr3:uid="{A64E8DB1-A18C-4D75-B9FB-21EA0670781E}" name="Column62" dataDxfId="131"/>
    <tableColumn id="64" xr3:uid="{7A712901-5D31-4D78-8239-8A905013BC3B}" name="Column63" dataDxfId="130"/>
    <tableColumn id="65" xr3:uid="{08A40195-21EF-4709-9966-8DFEC420162F}" name="Column64" dataDxfId="129"/>
    <tableColumn id="66" xr3:uid="{8D01DC1A-DB29-4FB5-A860-5D5257495073}" name="Column65" dataDxfId="128"/>
    <tableColumn id="67" xr3:uid="{C846DA59-1673-4C05-BBAE-32378BF416A9}" name="Column66" dataDxfId="127"/>
    <tableColumn id="68" xr3:uid="{F4CD8C20-9AA5-413D-914D-AEB529F5287E}" name="Column67" dataDxfId="126"/>
    <tableColumn id="69" xr3:uid="{74166799-FF4B-4DF1-B773-879B0957890D}" name="Column68" dataDxfId="125"/>
    <tableColumn id="70" xr3:uid="{004C02EB-6434-48A9-A272-83BA58FA3ABC}" name="Column69" dataDxfId="124"/>
    <tableColumn id="71" xr3:uid="{7C281724-2649-4F1D-BA14-D7C3CE59C8D3}" name="Column70" dataDxfId="123"/>
    <tableColumn id="72" xr3:uid="{37AD18EC-9E10-4E3C-ABD4-7485F0CC6FCE}" name="Column71" dataDxfId="122"/>
    <tableColumn id="73" xr3:uid="{03051089-2040-43BD-9568-7F2B375FE3FF}" name="Column72" dataDxfId="121"/>
    <tableColumn id="74" xr3:uid="{3FBA01B2-D1FB-49EA-944D-5378E5A054AE}" name="Column73" dataDxfId="120"/>
    <tableColumn id="75" xr3:uid="{F05F633B-E23A-49A0-9B15-D85A9B6B00F7}" name="Column74" dataDxfId="119"/>
    <tableColumn id="76" xr3:uid="{E58F8A24-7853-453C-8BEC-2C01DEF9E1E7}" name="Column75" dataDxfId="118"/>
    <tableColumn id="77" xr3:uid="{6B6C0040-1753-45B8-A437-83E8A7DBA0B3}" name="Column76" dataDxfId="117"/>
    <tableColumn id="78" xr3:uid="{49014621-488A-4CD0-938D-6ACE2A4730F6}" name="Column77" dataDxfId="116"/>
    <tableColumn id="79" xr3:uid="{FC46B94B-29A6-4331-BDF4-DE54359B9B29}" name="Column78" dataDxfId="115"/>
    <tableColumn id="80" xr3:uid="{3CDA3C18-9E5B-4FBB-A88A-D80CF3F5DC1F}" name="Column79" dataDxfId="114"/>
    <tableColumn id="81" xr3:uid="{64563121-D05B-4301-957E-F414608D4483}" name="Column80" dataDxfId="113"/>
    <tableColumn id="82" xr3:uid="{6AF605CA-C6AA-49D8-9C99-51F36AA43158}" name="Column81" dataDxfId="112"/>
    <tableColumn id="83" xr3:uid="{1E2026BD-EDE6-4AFA-AD06-06B8F4122EB3}" name="Column82" dataDxfId="111"/>
    <tableColumn id="84" xr3:uid="{E3D1C07E-A320-41A2-8742-FB765D6154AF}" name="Column83" dataDxfId="110"/>
    <tableColumn id="85" xr3:uid="{E179ACB0-96E0-407A-B1EB-8930BCE2945B}" name="Column84" dataDxfId="109"/>
    <tableColumn id="86" xr3:uid="{C47039EF-EF18-4D1F-A123-205DABFA8686}" name="Column85" dataDxfId="108"/>
    <tableColumn id="87" xr3:uid="{F07D56A5-773C-4590-A242-C93B8AD6CCD4}" name="Column86" dataDxfId="107"/>
    <tableColumn id="88" xr3:uid="{1C922C5E-48BD-46D1-A2C7-C9EC4D7195A7}" name="Column87" dataDxfId="106"/>
    <tableColumn id="89" xr3:uid="{4522BFC7-78BB-4D1C-AD43-B8F7078EC0B2}" name="Column88" dataDxfId="105"/>
    <tableColumn id="90" xr3:uid="{EC9C2CF2-1961-4E60-BC00-4BF7771033F3}" name="Column89" dataDxfId="104"/>
    <tableColumn id="91" xr3:uid="{581DA6A5-D15D-41FB-858C-421D0DF35CF1}" name="Column90" dataDxfId="103"/>
    <tableColumn id="92" xr3:uid="{08FBAB39-7015-40C5-9696-588F43A43766}" name="Column91" dataDxfId="102"/>
    <tableColumn id="93" xr3:uid="{8F51382C-73DF-47A5-AF1D-380BB619472F}" name="Column92" dataDxfId="10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A7CCF60-2249-47A7-B5CA-7A479066B829}" name="Table11" displayName="Table11" ref="A97:CO114" totalsRowShown="0" headerRowDxfId="100" dataDxfId="99">
  <autoFilter ref="A97:CO114" xr:uid="{1A7CCF60-2249-47A7-B5CA-7A479066B829}"/>
  <tableColumns count="93">
    <tableColumn id="1" xr3:uid="{8ECA3B2C-3952-4D2E-94AD-16CE2AF6F6FF}" name="AMAZON NOW F" dataDxfId="98"/>
    <tableColumn id="2" xr3:uid="{3EDEA93A-68DD-41E2-8771-624732B9105E}" name="Column1" dataDxfId="97"/>
    <tableColumn id="3" xr3:uid="{7A806600-D834-4018-B334-6A067FF27852}" name="Column2" dataDxfId="96"/>
    <tableColumn id="4" xr3:uid="{1CC4F50F-8E60-45E3-92D1-0E4297DBAA46}" name="Column3" dataDxfId="95"/>
    <tableColumn id="5" xr3:uid="{90EEE31F-5EA8-4768-8BBF-3AA0F5053F06}" name="Column4" dataDxfId="94"/>
    <tableColumn id="6" xr3:uid="{BB0F1990-4FE4-4626-8BB0-1D7AA42F7680}" name="Column5" dataDxfId="93"/>
    <tableColumn id="7" xr3:uid="{12BBA171-9D27-492D-BE9D-88C544D330D3}" name="Column6" dataDxfId="92"/>
    <tableColumn id="8" xr3:uid="{EBB38650-0A54-4444-B4D2-64A269BFE884}" name="Column7" dataDxfId="91"/>
    <tableColumn id="9" xr3:uid="{5D309B9D-4BDC-44F8-A07B-AB2175A62EE6}" name="Column8" dataDxfId="90"/>
    <tableColumn id="10" xr3:uid="{993A5991-E260-4468-B5AC-B32F81967D2F}" name="Column9" dataDxfId="89"/>
    <tableColumn id="11" xr3:uid="{EB072351-6EF1-48D7-8C3C-1B3AFA5CC122}" name="Column10" dataDxfId="88"/>
    <tableColumn id="12" xr3:uid="{C491D275-747C-49A4-9240-F60916C42C84}" name="Column11" dataDxfId="87"/>
    <tableColumn id="13" xr3:uid="{704C3D6A-8CF9-48F3-B0C7-5F0113DB06DB}" name="Column12" dataDxfId="86"/>
    <tableColumn id="14" xr3:uid="{54FA96D7-5B73-4F5F-A537-EEC0966C99C3}" name="Column13" dataDxfId="85"/>
    <tableColumn id="15" xr3:uid="{C54D1745-B1A9-4C1C-826E-09FE2F67E835}" name="Column14" dataDxfId="84"/>
    <tableColumn id="16" xr3:uid="{BB9DE2F0-55CB-4182-A56A-02F73EA334F2}" name="Column15" dataDxfId="83"/>
    <tableColumn id="17" xr3:uid="{252017A9-F7A2-4EE9-A650-507B70EEF8D7}" name="Column16" dataDxfId="82"/>
    <tableColumn id="18" xr3:uid="{82352ABE-7FED-46A3-87CC-B72CC9176C41}" name="Column17" dataDxfId="81"/>
    <tableColumn id="19" xr3:uid="{98CE8F31-909A-44B5-B3BE-F634BDB45D30}" name="Column18" dataDxfId="80"/>
    <tableColumn id="20" xr3:uid="{C85B62BF-7E2E-4F4B-A160-56D22496A681}" name="Column19" dataDxfId="79"/>
    <tableColumn id="21" xr3:uid="{84651129-2202-405F-8BB2-E68871FB5879}" name="Column20" dataDxfId="78"/>
    <tableColumn id="22" xr3:uid="{64D49062-CF6B-4E56-B52B-A31F495E167D}" name="Column21" dataDxfId="77"/>
    <tableColumn id="23" xr3:uid="{215DB2BE-7A4C-4F32-BE55-266FFE532181}" name="Column22" dataDxfId="76"/>
    <tableColumn id="24" xr3:uid="{3E2B1D26-30BC-4DA8-B2EE-25411E154A58}" name="Column23" dataDxfId="75"/>
    <tableColumn id="25" xr3:uid="{77B26B0A-C5FC-4A59-9285-638E0AE1C5D7}" name="Column24" dataDxfId="74"/>
    <tableColumn id="26" xr3:uid="{2175D5BA-F3DF-4854-90A9-177C2E3313BB}" name="Column25" dataDxfId="73"/>
    <tableColumn id="27" xr3:uid="{57D37FA7-791D-429D-88C0-A2AD4B7D578B}" name="Column26" dataDxfId="72"/>
    <tableColumn id="28" xr3:uid="{4F605E09-B0E6-4241-A72D-D98583695024}" name="Column27" dataDxfId="71"/>
    <tableColumn id="29" xr3:uid="{6BD7BF6B-D89D-4F7E-8129-09F136CE609A}" name="Column28" dataDxfId="70"/>
    <tableColumn id="30" xr3:uid="{AC182B26-5D5B-4B02-8AC4-6D593C238E49}" name="Column29" dataDxfId="69"/>
    <tableColumn id="31" xr3:uid="{2891E4E8-F9CC-4523-99FF-CC386E19D7EC}" name="Column30" dataDxfId="68"/>
    <tableColumn id="32" xr3:uid="{14A3EBD4-EBF3-4081-90A2-756A11239E09}" name="Column31" dataDxfId="67"/>
    <tableColumn id="33" xr3:uid="{BC6AC0F7-B40F-4783-B59C-388866C5D43A}" name="Column32" dataDxfId="66"/>
    <tableColumn id="34" xr3:uid="{FC2AE5F1-86BF-4D24-B608-18F09BF494DB}" name="Column33" dataDxfId="65"/>
    <tableColumn id="35" xr3:uid="{E03B8B7C-79F8-43FB-804B-2C04B6DF44D4}" name="Column34" dataDxfId="64"/>
    <tableColumn id="36" xr3:uid="{C6E766C3-447F-4BE4-9DF8-DB7FBEE07897}" name="Column35" dataDxfId="63"/>
    <tableColumn id="37" xr3:uid="{FF0552F3-C3DF-4E9C-B4C6-210A25B98E78}" name="Column36" dataDxfId="62"/>
    <tableColumn id="38" xr3:uid="{9A6DCD3C-310C-4D9B-91E1-0A3B0373CD2A}" name="Column37" dataDxfId="61"/>
    <tableColumn id="39" xr3:uid="{09499F4F-DCC6-455E-9FF1-2EDDB1D43434}" name="Column38" dataDxfId="60"/>
    <tableColumn id="40" xr3:uid="{790AF55D-9DED-417B-B99F-F0A18BBE03DB}" name="Column39" dataDxfId="59"/>
    <tableColumn id="41" xr3:uid="{FC825930-3604-4B00-B04F-6989B16005BF}" name="Column40" dataDxfId="58"/>
    <tableColumn id="42" xr3:uid="{416D9E23-3CF0-434A-8377-7273A278233A}" name="Column41" dataDxfId="57"/>
    <tableColumn id="43" xr3:uid="{EA847F0F-B1AF-434A-804F-2A34C90D84EB}" name="Column42" dataDxfId="56"/>
    <tableColumn id="44" xr3:uid="{A2C9483C-EE17-4C49-A06A-4CAA7E8C917E}" name="Column43" dataDxfId="55"/>
    <tableColumn id="45" xr3:uid="{09668A92-125B-4850-96B3-A93341E39ACA}" name="Column44" dataDxfId="54"/>
    <tableColumn id="46" xr3:uid="{AEDDBBC2-46E7-4B95-9C5A-B8E142199F17}" name="Column45" dataDxfId="53"/>
    <tableColumn id="47" xr3:uid="{52BA2E49-BC44-485A-B2BC-1ADD73DC37F1}" name="Column46" dataDxfId="52"/>
    <tableColumn id="48" xr3:uid="{119E137F-EAA1-4483-AED0-0D77E321D294}" name="Column47" dataDxfId="51"/>
    <tableColumn id="49" xr3:uid="{7E372CBB-A9B3-4E3A-832F-1CC1B04DEB9E}" name="Column48" dataDxfId="50"/>
    <tableColumn id="50" xr3:uid="{93CCCDE0-71DB-40FE-9626-9CE4DFBD64DD}" name="Column49" dataDxfId="49"/>
    <tableColumn id="51" xr3:uid="{4AEBA735-94E8-4A1D-B61C-0ABF113FC229}" name="Column50" dataDxfId="48"/>
    <tableColumn id="52" xr3:uid="{A369445D-849B-4C32-9057-A03CC82EC043}" name="Column51" dataDxfId="47"/>
    <tableColumn id="53" xr3:uid="{A611A19E-C390-476C-BA6D-AE13C5328714}" name="Column52" dataDxfId="46"/>
    <tableColumn id="54" xr3:uid="{C9E688F1-5F72-4DD4-85A3-9BB388F5FABF}" name="Column53" dataDxfId="45"/>
    <tableColumn id="55" xr3:uid="{C80AF244-6B1C-49E5-AC49-CE0B6DC7F894}" name="Column54" dataDxfId="44"/>
    <tableColumn id="56" xr3:uid="{D977C9D9-C5C2-48D0-8F38-1E73B6CF48C4}" name="Column55" dataDxfId="43"/>
    <tableColumn id="57" xr3:uid="{7DEF01F8-4A2A-40BB-A7DE-DB4FD26884AD}" name="Column56" dataDxfId="42"/>
    <tableColumn id="58" xr3:uid="{30F825E7-82C8-4148-B3BB-6DFCE22681B0}" name="Column57" dataDxfId="41"/>
    <tableColumn id="59" xr3:uid="{72D8213E-0B80-47E5-BBBE-670DBC63E405}" name="Column58" dataDxfId="40"/>
    <tableColumn id="60" xr3:uid="{2FA3C669-0531-4374-A965-03DD053214C1}" name="Column59" dataDxfId="39"/>
    <tableColumn id="61" xr3:uid="{98BA681F-E054-400B-A574-97CE6E416C60}" name="Column60" dataDxfId="38"/>
    <tableColumn id="62" xr3:uid="{3E930CEB-4AC5-41FD-BC84-7534561FEA93}" name="Column61" dataDxfId="37"/>
    <tableColumn id="63" xr3:uid="{7C593C75-398C-4EF4-B2DD-D376E40A6759}" name="Column62" dataDxfId="36"/>
    <tableColumn id="64" xr3:uid="{EE8631E6-3E28-46D9-A8E0-929DDF663EF2}" name="Column63" dataDxfId="35"/>
    <tableColumn id="65" xr3:uid="{8E94272B-9BA5-47A6-BD3A-C20455EC482A}" name="Column64" dataDxfId="34"/>
    <tableColumn id="66" xr3:uid="{887EB041-2C15-4E58-9554-96F1E8B10E34}" name="Column65" dataDxfId="33"/>
    <tableColumn id="67" xr3:uid="{FF14F71D-9C7A-4A37-8559-92A3EB883597}" name="Column66" dataDxfId="32"/>
    <tableColumn id="68" xr3:uid="{96A7C3EF-F483-4196-97E0-D0C3167691AB}" name="Column67" dataDxfId="31"/>
    <tableColumn id="69" xr3:uid="{C5BDDEFF-E761-4CCE-9487-A0A346074651}" name="Column68" dataDxfId="30"/>
    <tableColumn id="70" xr3:uid="{C74016D7-2F48-419E-B9C1-8B43C92CE7EB}" name="Column69" dataDxfId="29"/>
    <tableColumn id="71" xr3:uid="{AD3F3CD7-7DE6-4953-BB09-ED6962486BD9}" name="Column70" dataDxfId="28"/>
    <tableColumn id="72" xr3:uid="{1C0505D9-64C7-4B7D-AF3E-61680F6C5488}" name="Column71" dataDxfId="27"/>
    <tableColumn id="73" xr3:uid="{FEB96032-4051-4742-ADF2-D00C391318F1}" name="Column72" dataDxfId="26"/>
    <tableColumn id="74" xr3:uid="{993C7D81-90C0-4479-954A-9A02D2C3F3C9}" name="Column73" dataDxfId="25"/>
    <tableColumn id="75" xr3:uid="{7135D9F4-B89B-4421-9DE8-F48510C02D6A}" name="Column74" dataDxfId="24"/>
    <tableColumn id="76" xr3:uid="{562100EE-7ED8-42AF-9753-569E48D4E578}" name="Column75" dataDxfId="23"/>
    <tableColumn id="77" xr3:uid="{9CDFCD52-FA2D-41B9-9D44-26F79B97E4B9}" name="Column76" dataDxfId="22"/>
    <tableColumn id="78" xr3:uid="{32A08364-2BF8-4B03-A777-FCE164D9AD11}" name="Column77" dataDxfId="21"/>
    <tableColumn id="79" xr3:uid="{1D711DEA-8F8D-4BB0-84CE-C65ABAC0CECF}" name="Column78" dataDxfId="20"/>
    <tableColumn id="80" xr3:uid="{1A4E1AF4-5237-4D5A-9820-87BA949DB183}" name="Column79" dataDxfId="19"/>
    <tableColumn id="81" xr3:uid="{3D01E446-78A5-49E7-80D7-E28C425D9E75}" name="Column80" dataDxfId="18"/>
    <tableColumn id="82" xr3:uid="{E9041A86-2DF3-497C-8D50-90C25E077911}" name="Column81" dataDxfId="17"/>
    <tableColumn id="83" xr3:uid="{0716E7AC-060D-46EA-8E11-9E4263B5DFE6}" name="Column82" dataDxfId="16"/>
    <tableColumn id="84" xr3:uid="{93EB7AA8-48BD-4565-A8CA-B4795AEC1B09}" name="Column83" dataDxfId="15"/>
    <tableColumn id="85" xr3:uid="{F05E1DE0-CCCA-4067-AC0E-C96E52525B60}" name="Column84" dataDxfId="14"/>
    <tableColumn id="86" xr3:uid="{A9D69C64-DFE8-4D8D-8C09-F736B7FC6AA6}" name="Column85" dataDxfId="13"/>
    <tableColumn id="87" xr3:uid="{4B4DD734-C4ED-48A9-935C-2D6D28453B24}" name="Column86" dataDxfId="12"/>
    <tableColumn id="88" xr3:uid="{D6AFB955-4E0E-4F7E-BB0D-09962495AD47}" name="Column87" dataDxfId="11"/>
    <tableColumn id="89" xr3:uid="{CF7C1EC5-DABE-4E4A-B97E-E2A2A92A1E48}" name="Column88" dataDxfId="10"/>
    <tableColumn id="90" xr3:uid="{EE41BAC6-B76F-4785-ABD4-F682E688A74F}" name="Column89" dataDxfId="9"/>
    <tableColumn id="91" xr3:uid="{EA7436A1-13FE-4200-98D4-9BC5B5B5B61F}" name="Column90" dataDxfId="8"/>
    <tableColumn id="92" xr3:uid="{F6B7EF54-1B9D-48A2-8D63-54766C3BD8B8}" name="Column91" dataDxfId="7"/>
    <tableColumn id="93" xr3:uid="{A57E7DCC-2C96-405A-9610-4F2FF26BD0F7}" name="Column92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C426C22-88F8-49E0-A199-E5BC5E3400D6}" name="Table21" displayName="Table21" ref="I14:J20" totalsRowShown="0" headerRowDxfId="5" headerRowCellStyle="Normal 2">
  <autoFilter ref="I14:J20" xr:uid="{4C426C22-88F8-49E0-A199-E5BC5E3400D6}"/>
  <tableColumns count="2">
    <tableColumn id="1" xr3:uid="{317A675B-FA50-46D7-B286-68ACEA52B2DC}" name="KPI " dataCellStyle="Normal 2"/>
    <tableColumn id="2" xr3:uid="{67293FF1-079A-4160-BC85-6B5B44A4F1C7}" name="Value" dataDxfId="4" dataCellStyle="Normal 2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440FEE0-B1B1-495C-AFB6-932015CF2AD9}" name="Table23" displayName="Table23" ref="AJ20:AK26" totalsRowShown="0" headerRowDxfId="3">
  <autoFilter ref="AJ20:AK26" xr:uid="{3440FEE0-B1B1-495C-AFB6-932015CF2AD9}"/>
  <tableColumns count="2">
    <tableColumn id="1" xr3:uid="{CE59557D-249D-48B1-AF96-6971FAF7A326}" name="Platform" dataCellStyle="Normal 2"/>
    <tableColumn id="2" xr3:uid="{3256C31F-5C4D-42D1-93F4-AE7C09E4B7EA}" name="MoM Growth %" dataDxfId="2"/>
  </tableColumns>
  <tableStyleInfo name="TableStyleLight2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5905A6E-3B49-440D-B46D-DB845D7763D9}" name="Table24" displayName="Table24" ref="AQ4:AR10" totalsRowShown="0" headerRowDxfId="1">
  <autoFilter ref="AQ4:AR10" xr:uid="{65905A6E-3B49-440D-B46D-DB845D7763D9}"/>
  <tableColumns count="2">
    <tableColumn id="1" xr3:uid="{DBE00E62-018E-462A-AFAA-48326984265A}" name="Platform" dataCellStyle="Normal 2"/>
    <tableColumn id="2" xr3:uid="{FF8F4605-435F-43A3-A3CE-B0A4C3394BCD}" name="WoW Growth %" dataDxfId="0" dataCellStyle="Normal 2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table" Target="../tables/table10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9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8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A81C-1B10-46B0-8CD5-8AFA45FB60C6}">
  <sheetPr>
    <pageSetUpPr fitToPage="1"/>
  </sheetPr>
  <dimension ref="A1:T50"/>
  <sheetViews>
    <sheetView showGridLines="0" zoomScaleNormal="100" workbookViewId="0">
      <selection activeCell="C6" sqref="C6"/>
    </sheetView>
  </sheetViews>
  <sheetFormatPr defaultRowHeight="12.75"/>
  <cols>
    <col min="1" max="1" width="37.42578125" style="19" customWidth="1"/>
    <col min="2" max="2" width="11.140625" style="19" customWidth="1"/>
    <col min="3" max="3" width="18" style="19" customWidth="1"/>
    <col min="4" max="4" width="40.7109375" style="19" customWidth="1"/>
    <col min="5" max="5" width="10.85546875" style="19" customWidth="1"/>
    <col min="6" max="6" width="17.85546875" style="19" customWidth="1"/>
    <col min="7" max="7" width="37.7109375" style="19" customWidth="1"/>
    <col min="8" max="8" width="13.42578125" style="19" customWidth="1"/>
    <col min="9" max="9" width="1" style="19" hidden="1" customWidth="1"/>
    <col min="10" max="10" width="24.28515625" style="19" customWidth="1"/>
    <col min="11" max="11" width="6.85546875" style="19" customWidth="1"/>
    <col min="12" max="12" width="2.42578125" style="19" customWidth="1"/>
    <col min="13" max="13" width="23.42578125" style="19" customWidth="1"/>
    <col min="14" max="14" width="6.42578125" style="19" customWidth="1"/>
    <col min="15" max="15" width="1.7109375" style="19" customWidth="1"/>
    <col min="16" max="16" width="24.140625" style="19" customWidth="1"/>
    <col min="17" max="17" width="8.42578125" style="19" customWidth="1"/>
    <col min="18" max="16384" width="9.140625" style="19"/>
  </cols>
  <sheetData>
    <row r="1" spans="1:20" ht="12.75" customHeight="1">
      <c r="A1" s="29"/>
      <c r="B1" s="29"/>
      <c r="C1" s="29"/>
      <c r="D1" s="29"/>
      <c r="E1" s="29"/>
      <c r="F1" s="29"/>
      <c r="G1" s="29"/>
      <c r="H1" s="29"/>
      <c r="I1" s="29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12.75" customHeight="1">
      <c r="A2" s="29"/>
      <c r="B2" s="29"/>
      <c r="C2" s="29"/>
      <c r="D2" s="29"/>
      <c r="E2" s="29"/>
      <c r="F2" s="29"/>
      <c r="G2" s="29"/>
      <c r="H2" s="29"/>
      <c r="I2" s="29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0" ht="12.75" customHeight="1">
      <c r="A3" s="29"/>
      <c r="B3" s="29"/>
      <c r="C3" s="29"/>
      <c r="D3" s="29"/>
      <c r="E3" s="29"/>
      <c r="F3" s="29"/>
      <c r="G3" s="29"/>
      <c r="H3" s="29"/>
      <c r="I3" s="2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4.5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20" ht="18.75" customHeight="1">
      <c r="A5" s="24" t="s">
        <v>239</v>
      </c>
      <c r="B5" s="25">
        <f>'Supporting Analysis'!J15</f>
        <v>6575</v>
      </c>
      <c r="C5" s="21"/>
      <c r="D5" s="26" t="s">
        <v>240</v>
      </c>
      <c r="E5" s="25">
        <f>'Supporting Analysis'!J16</f>
        <v>44331</v>
      </c>
      <c r="G5" s="26" t="s">
        <v>241</v>
      </c>
      <c r="H5" s="25">
        <f>'Supporting Analysis'!J17</f>
        <v>160840</v>
      </c>
      <c r="I5" s="20"/>
      <c r="L5" s="22"/>
      <c r="O5" s="22"/>
    </row>
    <row r="6" spans="1:20" ht="3.75" customHeight="1"/>
    <row r="7" spans="1:20" ht="20.25" customHeight="1">
      <c r="A7" s="26" t="s">
        <v>242</v>
      </c>
      <c r="B7" s="27">
        <f>'Supporting Analysis'!J18</f>
        <v>5.3179561108441457E-2</v>
      </c>
      <c r="C7" s="23"/>
      <c r="D7" s="26" t="s">
        <v>243</v>
      </c>
      <c r="E7" s="27">
        <f>'Supporting Analysis'!J19</f>
        <v>9.8471145030601878E-2</v>
      </c>
      <c r="F7" s="23"/>
      <c r="G7" s="26" t="s">
        <v>244</v>
      </c>
      <c r="H7" s="28">
        <f>'Supporting Analysis'!J20</f>
        <v>-0.34558829512812378</v>
      </c>
    </row>
    <row r="8" spans="1:20" ht="3" customHeight="1"/>
    <row r="12" spans="1:20" ht="21">
      <c r="G12" s="21"/>
    </row>
    <row r="23" spans="1:9" ht="10.5" customHeight="1"/>
    <row r="24" spans="1:9" ht="16.5" customHeight="1">
      <c r="A24" s="22"/>
      <c r="B24" s="22"/>
      <c r="C24" s="22"/>
      <c r="F24" s="22"/>
      <c r="G24" s="22"/>
      <c r="H24" s="22"/>
    </row>
    <row r="25" spans="1:9" ht="15">
      <c r="A25" s="22"/>
      <c r="B25" s="22"/>
      <c r="C25" s="22"/>
      <c r="F25" s="22"/>
      <c r="G25" s="22"/>
      <c r="H25" s="22"/>
    </row>
    <row r="26" spans="1:9" ht="15">
      <c r="A26" s="22"/>
      <c r="B26" s="22"/>
      <c r="C26" s="22"/>
      <c r="F26" s="22"/>
      <c r="G26" s="22"/>
      <c r="H26" s="22"/>
      <c r="I26" s="22"/>
    </row>
    <row r="50" spans="19:19">
      <c r="S50" s="19" t="s">
        <v>238</v>
      </c>
    </row>
  </sheetData>
  <mergeCells count="1">
    <mergeCell ref="A1:I3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B038-1CDA-46F4-B7EC-CF4FD835B3AD}">
  <dimension ref="A1:E4158"/>
  <sheetViews>
    <sheetView workbookViewId="0">
      <selection activeCell="F1" sqref="F1"/>
    </sheetView>
  </sheetViews>
  <sheetFormatPr defaultRowHeight="12.75"/>
  <cols>
    <col min="1" max="1" width="11.42578125" customWidth="1"/>
  </cols>
  <sheetData>
    <row r="1" spans="1:5">
      <c r="A1" t="s">
        <v>210</v>
      </c>
      <c r="B1" t="s">
        <v>1</v>
      </c>
      <c r="C1" t="s">
        <v>207</v>
      </c>
      <c r="D1" t="s">
        <v>208</v>
      </c>
      <c r="E1" s="14" t="s">
        <v>226</v>
      </c>
    </row>
    <row r="2" spans="1:5">
      <c r="A2" t="s">
        <v>0</v>
      </c>
      <c r="B2" t="s">
        <v>94</v>
      </c>
      <c r="C2" s="5">
        <v>45444</v>
      </c>
      <c r="D2">
        <v>257</v>
      </c>
      <c r="E2">
        <f>WEEKNUM(Append321[[#This Row],[Date]])</f>
        <v>22</v>
      </c>
    </row>
    <row r="3" spans="1:5">
      <c r="A3" t="s">
        <v>0</v>
      </c>
      <c r="B3" t="s">
        <v>94</v>
      </c>
      <c r="C3" s="5">
        <v>45445</v>
      </c>
      <c r="D3">
        <v>255</v>
      </c>
      <c r="E3">
        <f>WEEKNUM(Append321[[#This Row],[Date]])</f>
        <v>23</v>
      </c>
    </row>
    <row r="4" spans="1:5">
      <c r="A4" t="s">
        <v>0</v>
      </c>
      <c r="B4" t="s">
        <v>94</v>
      </c>
      <c r="C4" s="5">
        <v>45446</v>
      </c>
      <c r="D4">
        <v>254</v>
      </c>
      <c r="E4">
        <f>WEEKNUM(Append321[[#This Row],[Date]])</f>
        <v>23</v>
      </c>
    </row>
    <row r="5" spans="1:5">
      <c r="A5" t="s">
        <v>0</v>
      </c>
      <c r="B5" t="s">
        <v>94</v>
      </c>
      <c r="C5" s="5">
        <v>45447</v>
      </c>
      <c r="D5">
        <v>173</v>
      </c>
      <c r="E5">
        <f>WEEKNUM(Append321[[#This Row],[Date]])</f>
        <v>23</v>
      </c>
    </row>
    <row r="6" spans="1:5">
      <c r="A6" t="s">
        <v>0</v>
      </c>
      <c r="B6" t="s">
        <v>94</v>
      </c>
      <c r="C6" s="5">
        <v>45448</v>
      </c>
      <c r="D6">
        <v>160</v>
      </c>
      <c r="E6">
        <f>WEEKNUM(Append321[[#This Row],[Date]])</f>
        <v>23</v>
      </c>
    </row>
    <row r="7" spans="1:5">
      <c r="A7" t="s">
        <v>0</v>
      </c>
      <c r="B7" t="s">
        <v>94</v>
      </c>
      <c r="C7" s="5">
        <v>45449</v>
      </c>
      <c r="D7">
        <v>173</v>
      </c>
      <c r="E7">
        <f>WEEKNUM(Append321[[#This Row],[Date]])</f>
        <v>23</v>
      </c>
    </row>
    <row r="8" spans="1:5">
      <c r="A8" t="s">
        <v>0</v>
      </c>
      <c r="B8" t="s">
        <v>94</v>
      </c>
      <c r="C8" s="5">
        <v>45450</v>
      </c>
      <c r="D8">
        <v>147</v>
      </c>
      <c r="E8">
        <f>WEEKNUM(Append321[[#This Row],[Date]])</f>
        <v>23</v>
      </c>
    </row>
    <row r="9" spans="1:5">
      <c r="A9" t="s">
        <v>0</v>
      </c>
      <c r="B9" t="s">
        <v>94</v>
      </c>
      <c r="C9" s="5">
        <v>45451</v>
      </c>
      <c r="D9">
        <v>178</v>
      </c>
      <c r="E9">
        <f>WEEKNUM(Append321[[#This Row],[Date]])</f>
        <v>23</v>
      </c>
    </row>
    <row r="10" spans="1:5">
      <c r="A10" t="s">
        <v>0</v>
      </c>
      <c r="B10" t="s">
        <v>94</v>
      </c>
      <c r="C10" s="5">
        <v>45452</v>
      </c>
      <c r="D10">
        <v>107</v>
      </c>
      <c r="E10">
        <f>WEEKNUM(Append321[[#This Row],[Date]])</f>
        <v>24</v>
      </c>
    </row>
    <row r="11" spans="1:5">
      <c r="A11" t="s">
        <v>0</v>
      </c>
      <c r="B11" t="s">
        <v>94</v>
      </c>
      <c r="C11" s="5">
        <v>45453</v>
      </c>
      <c r="D11">
        <v>145</v>
      </c>
      <c r="E11">
        <f>WEEKNUM(Append321[[#This Row],[Date]])</f>
        <v>24</v>
      </c>
    </row>
    <row r="12" spans="1:5">
      <c r="A12" t="s">
        <v>0</v>
      </c>
      <c r="B12" t="s">
        <v>94</v>
      </c>
      <c r="C12" s="5">
        <v>45454</v>
      </c>
      <c r="D12">
        <v>156</v>
      </c>
      <c r="E12">
        <f>WEEKNUM(Append321[[#This Row],[Date]])</f>
        <v>24</v>
      </c>
    </row>
    <row r="13" spans="1:5">
      <c r="A13" t="s">
        <v>0</v>
      </c>
      <c r="B13" t="s">
        <v>94</v>
      </c>
      <c r="C13" s="5">
        <v>45455</v>
      </c>
      <c r="D13">
        <v>145</v>
      </c>
      <c r="E13">
        <f>WEEKNUM(Append321[[#This Row],[Date]])</f>
        <v>24</v>
      </c>
    </row>
    <row r="14" spans="1:5">
      <c r="A14" t="s">
        <v>0</v>
      </c>
      <c r="B14" t="s">
        <v>94</v>
      </c>
      <c r="C14" s="5">
        <v>45456</v>
      </c>
      <c r="D14">
        <v>139</v>
      </c>
      <c r="E14">
        <f>WEEKNUM(Append321[[#This Row],[Date]])</f>
        <v>24</v>
      </c>
    </row>
    <row r="15" spans="1:5">
      <c r="A15" t="s">
        <v>0</v>
      </c>
      <c r="B15" t="s">
        <v>94</v>
      </c>
      <c r="C15" s="5">
        <v>45457</v>
      </c>
      <c r="D15">
        <v>165</v>
      </c>
      <c r="E15">
        <f>WEEKNUM(Append321[[#This Row],[Date]])</f>
        <v>24</v>
      </c>
    </row>
    <row r="16" spans="1:5">
      <c r="A16" t="s">
        <v>0</v>
      </c>
      <c r="B16" t="s">
        <v>94</v>
      </c>
      <c r="C16" s="5">
        <v>45458</v>
      </c>
      <c r="D16">
        <v>191</v>
      </c>
      <c r="E16">
        <f>WEEKNUM(Append321[[#This Row],[Date]])</f>
        <v>24</v>
      </c>
    </row>
    <row r="17" spans="1:5">
      <c r="A17" t="s">
        <v>0</v>
      </c>
      <c r="B17" t="s">
        <v>94</v>
      </c>
      <c r="C17" s="5">
        <v>45459</v>
      </c>
      <c r="D17">
        <v>182</v>
      </c>
      <c r="E17">
        <f>WEEKNUM(Append321[[#This Row],[Date]])</f>
        <v>25</v>
      </c>
    </row>
    <row r="18" spans="1:5">
      <c r="A18" t="s">
        <v>0</v>
      </c>
      <c r="B18" t="s">
        <v>94</v>
      </c>
      <c r="C18" s="5">
        <v>45460</v>
      </c>
      <c r="D18">
        <v>151</v>
      </c>
      <c r="E18">
        <f>WEEKNUM(Append321[[#This Row],[Date]])</f>
        <v>25</v>
      </c>
    </row>
    <row r="19" spans="1:5">
      <c r="A19" t="s">
        <v>0</v>
      </c>
      <c r="B19" t="s">
        <v>94</v>
      </c>
      <c r="C19" s="5">
        <v>45461</v>
      </c>
      <c r="D19">
        <v>185</v>
      </c>
      <c r="E19">
        <f>WEEKNUM(Append321[[#This Row],[Date]])</f>
        <v>25</v>
      </c>
    </row>
    <row r="20" spans="1:5">
      <c r="A20" t="s">
        <v>0</v>
      </c>
      <c r="B20" t="s">
        <v>94</v>
      </c>
      <c r="C20" s="5">
        <v>45462</v>
      </c>
      <c r="D20">
        <v>192</v>
      </c>
      <c r="E20">
        <f>WEEKNUM(Append321[[#This Row],[Date]])</f>
        <v>25</v>
      </c>
    </row>
    <row r="21" spans="1:5">
      <c r="A21" t="s">
        <v>0</v>
      </c>
      <c r="B21" t="s">
        <v>94</v>
      </c>
      <c r="C21" s="5">
        <v>45463</v>
      </c>
      <c r="D21">
        <v>172</v>
      </c>
      <c r="E21">
        <f>WEEKNUM(Append321[[#This Row],[Date]])</f>
        <v>25</v>
      </c>
    </row>
    <row r="22" spans="1:5">
      <c r="A22" t="s">
        <v>0</v>
      </c>
      <c r="B22" t="s">
        <v>94</v>
      </c>
      <c r="C22" s="5">
        <v>45464</v>
      </c>
      <c r="D22">
        <v>145</v>
      </c>
      <c r="E22">
        <f>WEEKNUM(Append321[[#This Row],[Date]])</f>
        <v>25</v>
      </c>
    </row>
    <row r="23" spans="1:5">
      <c r="A23" t="s">
        <v>0</v>
      </c>
      <c r="B23" t="s">
        <v>94</v>
      </c>
      <c r="C23" s="5">
        <v>45465</v>
      </c>
      <c r="D23">
        <v>134</v>
      </c>
      <c r="E23">
        <f>WEEKNUM(Append321[[#This Row],[Date]])</f>
        <v>25</v>
      </c>
    </row>
    <row r="24" spans="1:5">
      <c r="A24" t="s">
        <v>0</v>
      </c>
      <c r="B24" t="s">
        <v>94</v>
      </c>
      <c r="C24" s="5">
        <v>45466</v>
      </c>
      <c r="D24">
        <v>130</v>
      </c>
      <c r="E24">
        <f>WEEKNUM(Append321[[#This Row],[Date]])</f>
        <v>26</v>
      </c>
    </row>
    <row r="25" spans="1:5">
      <c r="A25" t="s">
        <v>0</v>
      </c>
      <c r="B25" t="s">
        <v>94</v>
      </c>
      <c r="C25" s="5">
        <v>45467</v>
      </c>
      <c r="D25">
        <v>161</v>
      </c>
      <c r="E25">
        <f>WEEKNUM(Append321[[#This Row],[Date]])</f>
        <v>26</v>
      </c>
    </row>
    <row r="26" spans="1:5">
      <c r="A26" t="s">
        <v>0</v>
      </c>
      <c r="B26" t="s">
        <v>94</v>
      </c>
      <c r="C26" s="5">
        <v>45468</v>
      </c>
      <c r="D26">
        <v>165</v>
      </c>
      <c r="E26">
        <f>WEEKNUM(Append321[[#This Row],[Date]])</f>
        <v>26</v>
      </c>
    </row>
    <row r="27" spans="1:5">
      <c r="A27" t="s">
        <v>0</v>
      </c>
      <c r="B27" t="s">
        <v>94</v>
      </c>
      <c r="C27" s="5">
        <v>45469</v>
      </c>
      <c r="D27">
        <v>168</v>
      </c>
      <c r="E27">
        <f>WEEKNUM(Append321[[#This Row],[Date]])</f>
        <v>26</v>
      </c>
    </row>
    <row r="28" spans="1:5">
      <c r="A28" t="s">
        <v>0</v>
      </c>
      <c r="B28" t="s">
        <v>94</v>
      </c>
      <c r="C28" s="5">
        <v>45470</v>
      </c>
      <c r="D28">
        <v>167</v>
      </c>
      <c r="E28">
        <f>WEEKNUM(Append321[[#This Row],[Date]])</f>
        <v>26</v>
      </c>
    </row>
    <row r="29" spans="1:5">
      <c r="A29" t="s">
        <v>0</v>
      </c>
      <c r="B29" t="s">
        <v>94</v>
      </c>
      <c r="C29" s="5">
        <v>45471</v>
      </c>
      <c r="D29">
        <v>153</v>
      </c>
      <c r="E29">
        <f>WEEKNUM(Append321[[#This Row],[Date]])</f>
        <v>26</v>
      </c>
    </row>
    <row r="30" spans="1:5">
      <c r="A30" t="s">
        <v>0</v>
      </c>
      <c r="B30" t="s">
        <v>94</v>
      </c>
      <c r="C30" s="5">
        <v>45472</v>
      </c>
      <c r="D30">
        <v>147</v>
      </c>
      <c r="E30">
        <f>WEEKNUM(Append321[[#This Row],[Date]])</f>
        <v>26</v>
      </c>
    </row>
    <row r="31" spans="1:5">
      <c r="A31" t="s">
        <v>0</v>
      </c>
      <c r="B31" t="s">
        <v>94</v>
      </c>
      <c r="C31" s="5">
        <v>45473</v>
      </c>
      <c r="D31">
        <v>171</v>
      </c>
      <c r="E31">
        <f>WEEKNUM(Append321[[#This Row],[Date]])</f>
        <v>27</v>
      </c>
    </row>
    <row r="32" spans="1:5">
      <c r="A32" t="s">
        <v>0</v>
      </c>
      <c r="B32" t="s">
        <v>94</v>
      </c>
      <c r="C32" s="5">
        <v>45474</v>
      </c>
      <c r="D32">
        <v>153</v>
      </c>
      <c r="E32">
        <f>WEEKNUM(Append321[[#This Row],[Date]])</f>
        <v>27</v>
      </c>
    </row>
    <row r="33" spans="1:5">
      <c r="A33" t="s">
        <v>0</v>
      </c>
      <c r="B33" t="s">
        <v>94</v>
      </c>
      <c r="C33" s="5">
        <v>45475</v>
      </c>
      <c r="D33">
        <v>169</v>
      </c>
      <c r="E33">
        <f>WEEKNUM(Append321[[#This Row],[Date]])</f>
        <v>27</v>
      </c>
    </row>
    <row r="34" spans="1:5">
      <c r="A34" t="s">
        <v>0</v>
      </c>
      <c r="B34" t="s">
        <v>94</v>
      </c>
      <c r="C34" s="5">
        <v>45476</v>
      </c>
      <c r="D34">
        <v>166</v>
      </c>
      <c r="E34">
        <f>WEEKNUM(Append321[[#This Row],[Date]])</f>
        <v>27</v>
      </c>
    </row>
    <row r="35" spans="1:5">
      <c r="A35" t="s">
        <v>0</v>
      </c>
      <c r="B35" t="s">
        <v>94</v>
      </c>
      <c r="C35" s="5">
        <v>45477</v>
      </c>
      <c r="D35">
        <v>160</v>
      </c>
      <c r="E35">
        <f>WEEKNUM(Append321[[#This Row],[Date]])</f>
        <v>27</v>
      </c>
    </row>
    <row r="36" spans="1:5">
      <c r="A36" t="s">
        <v>0</v>
      </c>
      <c r="B36" t="s">
        <v>94</v>
      </c>
      <c r="C36" s="5">
        <v>45478</v>
      </c>
      <c r="D36">
        <v>156</v>
      </c>
      <c r="E36">
        <f>WEEKNUM(Append321[[#This Row],[Date]])</f>
        <v>27</v>
      </c>
    </row>
    <row r="37" spans="1:5">
      <c r="A37" t="s">
        <v>0</v>
      </c>
      <c r="B37" t="s">
        <v>94</v>
      </c>
      <c r="C37" s="5">
        <v>45479</v>
      </c>
      <c r="D37">
        <v>165</v>
      </c>
      <c r="E37">
        <f>WEEKNUM(Append321[[#This Row],[Date]])</f>
        <v>27</v>
      </c>
    </row>
    <row r="38" spans="1:5">
      <c r="A38" t="s">
        <v>0</v>
      </c>
      <c r="B38" t="s">
        <v>94</v>
      </c>
      <c r="C38" s="5">
        <v>45480</v>
      </c>
      <c r="D38">
        <v>151</v>
      </c>
      <c r="E38">
        <f>WEEKNUM(Append321[[#This Row],[Date]])</f>
        <v>28</v>
      </c>
    </row>
    <row r="39" spans="1:5">
      <c r="A39" t="s">
        <v>0</v>
      </c>
      <c r="B39" t="s">
        <v>94</v>
      </c>
      <c r="C39" s="5">
        <v>45481</v>
      </c>
      <c r="D39">
        <v>163</v>
      </c>
      <c r="E39">
        <f>WEEKNUM(Append321[[#This Row],[Date]])</f>
        <v>28</v>
      </c>
    </row>
    <row r="40" spans="1:5">
      <c r="A40" t="s">
        <v>0</v>
      </c>
      <c r="B40" t="s">
        <v>94</v>
      </c>
      <c r="C40" s="5">
        <v>45482</v>
      </c>
      <c r="D40">
        <v>158</v>
      </c>
      <c r="E40">
        <f>WEEKNUM(Append321[[#This Row],[Date]])</f>
        <v>28</v>
      </c>
    </row>
    <row r="41" spans="1:5">
      <c r="A41" t="s">
        <v>0</v>
      </c>
      <c r="B41" t="s">
        <v>94</v>
      </c>
      <c r="C41" s="5">
        <v>45483</v>
      </c>
      <c r="D41">
        <v>174</v>
      </c>
      <c r="E41">
        <f>WEEKNUM(Append321[[#This Row],[Date]])</f>
        <v>28</v>
      </c>
    </row>
    <row r="42" spans="1:5">
      <c r="A42" t="s">
        <v>0</v>
      </c>
      <c r="B42" t="s">
        <v>94</v>
      </c>
      <c r="C42" s="5">
        <v>45484</v>
      </c>
      <c r="D42">
        <v>208</v>
      </c>
      <c r="E42">
        <f>WEEKNUM(Append321[[#This Row],[Date]])</f>
        <v>28</v>
      </c>
    </row>
    <row r="43" spans="1:5">
      <c r="A43" t="s">
        <v>0</v>
      </c>
      <c r="B43" t="s">
        <v>94</v>
      </c>
      <c r="C43" s="5">
        <v>45485</v>
      </c>
      <c r="D43">
        <v>202</v>
      </c>
      <c r="E43">
        <f>WEEKNUM(Append321[[#This Row],[Date]])</f>
        <v>28</v>
      </c>
    </row>
    <row r="44" spans="1:5">
      <c r="A44" t="s">
        <v>0</v>
      </c>
      <c r="B44" t="s">
        <v>94</v>
      </c>
      <c r="C44" s="5">
        <v>45486</v>
      </c>
      <c r="D44">
        <v>201</v>
      </c>
      <c r="E44">
        <f>WEEKNUM(Append321[[#This Row],[Date]])</f>
        <v>28</v>
      </c>
    </row>
    <row r="45" spans="1:5">
      <c r="A45" t="s">
        <v>0</v>
      </c>
      <c r="B45" t="s">
        <v>94</v>
      </c>
      <c r="C45" s="5">
        <v>45487</v>
      </c>
      <c r="D45">
        <v>198</v>
      </c>
      <c r="E45">
        <f>WEEKNUM(Append321[[#This Row],[Date]])</f>
        <v>29</v>
      </c>
    </row>
    <row r="46" spans="1:5">
      <c r="A46" t="s">
        <v>0</v>
      </c>
      <c r="B46" t="s">
        <v>94</v>
      </c>
      <c r="C46" s="5">
        <v>45488</v>
      </c>
      <c r="D46">
        <v>211</v>
      </c>
      <c r="E46">
        <f>WEEKNUM(Append321[[#This Row],[Date]])</f>
        <v>29</v>
      </c>
    </row>
    <row r="47" spans="1:5">
      <c r="A47" t="s">
        <v>0</v>
      </c>
      <c r="B47" t="s">
        <v>94</v>
      </c>
      <c r="C47" s="5">
        <v>45489</v>
      </c>
      <c r="D47">
        <v>188</v>
      </c>
      <c r="E47">
        <f>WEEKNUM(Append321[[#This Row],[Date]])</f>
        <v>29</v>
      </c>
    </row>
    <row r="48" spans="1:5">
      <c r="A48" t="s">
        <v>0</v>
      </c>
      <c r="B48" t="s">
        <v>94</v>
      </c>
      <c r="C48" s="5">
        <v>45490</v>
      </c>
      <c r="D48">
        <v>239</v>
      </c>
      <c r="E48">
        <f>WEEKNUM(Append321[[#This Row],[Date]])</f>
        <v>29</v>
      </c>
    </row>
    <row r="49" spans="1:5">
      <c r="A49" t="s">
        <v>0</v>
      </c>
      <c r="B49" t="s">
        <v>94</v>
      </c>
      <c r="C49" s="5">
        <v>45491</v>
      </c>
      <c r="D49">
        <v>169</v>
      </c>
      <c r="E49">
        <f>WEEKNUM(Append321[[#This Row],[Date]])</f>
        <v>29</v>
      </c>
    </row>
    <row r="50" spans="1:5">
      <c r="A50" t="s">
        <v>0</v>
      </c>
      <c r="B50" t="s">
        <v>94</v>
      </c>
      <c r="C50" s="5">
        <v>45492</v>
      </c>
      <c r="D50">
        <v>213</v>
      </c>
      <c r="E50">
        <f>WEEKNUM(Append321[[#This Row],[Date]])</f>
        <v>29</v>
      </c>
    </row>
    <row r="51" spans="1:5">
      <c r="A51" t="s">
        <v>0</v>
      </c>
      <c r="B51" t="s">
        <v>94</v>
      </c>
      <c r="C51" s="5">
        <v>45493</v>
      </c>
      <c r="D51">
        <v>200</v>
      </c>
      <c r="E51">
        <f>WEEKNUM(Append321[[#This Row],[Date]])</f>
        <v>29</v>
      </c>
    </row>
    <row r="52" spans="1:5">
      <c r="A52" t="s">
        <v>0</v>
      </c>
      <c r="B52" t="s">
        <v>94</v>
      </c>
      <c r="C52" s="5">
        <v>45494</v>
      </c>
      <c r="D52">
        <v>188</v>
      </c>
      <c r="E52">
        <f>WEEKNUM(Append321[[#This Row],[Date]])</f>
        <v>30</v>
      </c>
    </row>
    <row r="53" spans="1:5">
      <c r="A53" t="s">
        <v>0</v>
      </c>
      <c r="B53" t="s">
        <v>94</v>
      </c>
      <c r="C53" s="5">
        <v>45495</v>
      </c>
      <c r="D53">
        <v>196</v>
      </c>
      <c r="E53">
        <f>WEEKNUM(Append321[[#This Row],[Date]])</f>
        <v>30</v>
      </c>
    </row>
    <row r="54" spans="1:5">
      <c r="A54" t="s">
        <v>0</v>
      </c>
      <c r="B54" t="s">
        <v>94</v>
      </c>
      <c r="C54" s="5">
        <v>45496</v>
      </c>
      <c r="D54">
        <v>220</v>
      </c>
      <c r="E54">
        <f>WEEKNUM(Append321[[#This Row],[Date]])</f>
        <v>30</v>
      </c>
    </row>
    <row r="55" spans="1:5">
      <c r="A55" t="s">
        <v>0</v>
      </c>
      <c r="B55" t="s">
        <v>94</v>
      </c>
      <c r="C55" s="5">
        <v>45497</v>
      </c>
      <c r="D55">
        <v>222</v>
      </c>
      <c r="E55">
        <f>WEEKNUM(Append321[[#This Row],[Date]])</f>
        <v>30</v>
      </c>
    </row>
    <row r="56" spans="1:5">
      <c r="A56" t="s">
        <v>0</v>
      </c>
      <c r="B56" t="s">
        <v>94</v>
      </c>
      <c r="C56" s="5">
        <v>45498</v>
      </c>
      <c r="D56">
        <v>169</v>
      </c>
      <c r="E56">
        <f>WEEKNUM(Append321[[#This Row],[Date]])</f>
        <v>30</v>
      </c>
    </row>
    <row r="57" spans="1:5">
      <c r="A57" t="s">
        <v>0</v>
      </c>
      <c r="B57" t="s">
        <v>94</v>
      </c>
      <c r="C57" s="5">
        <v>45499</v>
      </c>
      <c r="D57">
        <v>177</v>
      </c>
      <c r="E57">
        <f>WEEKNUM(Append321[[#This Row],[Date]])</f>
        <v>30</v>
      </c>
    </row>
    <row r="58" spans="1:5">
      <c r="A58" t="s">
        <v>0</v>
      </c>
      <c r="B58" t="s">
        <v>94</v>
      </c>
      <c r="C58" s="5">
        <v>45500</v>
      </c>
      <c r="D58">
        <v>186</v>
      </c>
      <c r="E58">
        <f>WEEKNUM(Append321[[#This Row],[Date]])</f>
        <v>30</v>
      </c>
    </row>
    <row r="59" spans="1:5">
      <c r="A59" t="s">
        <v>0</v>
      </c>
      <c r="B59" t="s">
        <v>94</v>
      </c>
      <c r="C59" s="5">
        <v>45501</v>
      </c>
      <c r="D59">
        <v>213</v>
      </c>
      <c r="E59">
        <f>WEEKNUM(Append321[[#This Row],[Date]])</f>
        <v>31</v>
      </c>
    </row>
    <row r="60" spans="1:5">
      <c r="A60" t="s">
        <v>0</v>
      </c>
      <c r="B60" t="s">
        <v>94</v>
      </c>
      <c r="C60" s="5">
        <v>45502</v>
      </c>
      <c r="D60">
        <v>208</v>
      </c>
      <c r="E60">
        <f>WEEKNUM(Append321[[#This Row],[Date]])</f>
        <v>31</v>
      </c>
    </row>
    <row r="61" spans="1:5">
      <c r="A61" t="s">
        <v>0</v>
      </c>
      <c r="B61" t="s">
        <v>94</v>
      </c>
      <c r="C61" s="5">
        <v>45503</v>
      </c>
      <c r="D61">
        <v>216</v>
      </c>
      <c r="E61">
        <f>WEEKNUM(Append321[[#This Row],[Date]])</f>
        <v>31</v>
      </c>
    </row>
    <row r="62" spans="1:5">
      <c r="A62" t="s">
        <v>0</v>
      </c>
      <c r="B62" t="s">
        <v>94</v>
      </c>
      <c r="C62" s="5">
        <v>45504</v>
      </c>
      <c r="D62">
        <v>225</v>
      </c>
      <c r="E62">
        <f>WEEKNUM(Append321[[#This Row],[Date]])</f>
        <v>31</v>
      </c>
    </row>
    <row r="63" spans="1:5">
      <c r="A63" t="s">
        <v>0</v>
      </c>
      <c r="B63" t="s">
        <v>94</v>
      </c>
      <c r="C63" s="5">
        <v>45505</v>
      </c>
      <c r="D63">
        <v>251</v>
      </c>
      <c r="E63">
        <f>WEEKNUM(Append321[[#This Row],[Date]])</f>
        <v>31</v>
      </c>
    </row>
    <row r="64" spans="1:5">
      <c r="A64" t="s">
        <v>0</v>
      </c>
      <c r="B64" t="s">
        <v>94</v>
      </c>
      <c r="C64" s="5">
        <v>45506</v>
      </c>
      <c r="D64">
        <v>244</v>
      </c>
      <c r="E64">
        <f>WEEKNUM(Append321[[#This Row],[Date]])</f>
        <v>31</v>
      </c>
    </row>
    <row r="65" spans="1:5">
      <c r="A65" t="s">
        <v>0</v>
      </c>
      <c r="B65" t="s">
        <v>94</v>
      </c>
      <c r="C65" s="5">
        <v>45507</v>
      </c>
      <c r="D65">
        <v>251</v>
      </c>
      <c r="E65">
        <f>WEEKNUM(Append321[[#This Row],[Date]])</f>
        <v>31</v>
      </c>
    </row>
    <row r="66" spans="1:5">
      <c r="A66" t="s">
        <v>0</v>
      </c>
      <c r="B66" t="s">
        <v>94</v>
      </c>
      <c r="C66" s="5">
        <v>45508</v>
      </c>
      <c r="D66">
        <v>251</v>
      </c>
      <c r="E66">
        <f>WEEKNUM(Append321[[#This Row],[Date]])</f>
        <v>32</v>
      </c>
    </row>
    <row r="67" spans="1:5">
      <c r="A67" t="s">
        <v>0</v>
      </c>
      <c r="B67" t="s">
        <v>94</v>
      </c>
      <c r="C67" s="5">
        <v>45509</v>
      </c>
      <c r="D67">
        <v>270</v>
      </c>
      <c r="E67">
        <f>WEEKNUM(Append321[[#This Row],[Date]])</f>
        <v>32</v>
      </c>
    </row>
    <row r="68" spans="1:5">
      <c r="A68" t="s">
        <v>0</v>
      </c>
      <c r="B68" t="s">
        <v>94</v>
      </c>
      <c r="C68" s="5">
        <v>45510</v>
      </c>
      <c r="D68">
        <v>230</v>
      </c>
      <c r="E68">
        <f>WEEKNUM(Append321[[#This Row],[Date]])</f>
        <v>32</v>
      </c>
    </row>
    <row r="69" spans="1:5">
      <c r="A69" t="s">
        <v>0</v>
      </c>
      <c r="B69" t="s">
        <v>94</v>
      </c>
      <c r="C69" s="5">
        <v>45511</v>
      </c>
      <c r="D69">
        <v>266</v>
      </c>
      <c r="E69">
        <f>WEEKNUM(Append321[[#This Row],[Date]])</f>
        <v>32</v>
      </c>
    </row>
    <row r="70" spans="1:5">
      <c r="A70" t="s">
        <v>0</v>
      </c>
      <c r="B70" t="s">
        <v>94</v>
      </c>
      <c r="C70" s="5">
        <v>45512</v>
      </c>
      <c r="D70">
        <v>253</v>
      </c>
      <c r="E70">
        <f>WEEKNUM(Append321[[#This Row],[Date]])</f>
        <v>32</v>
      </c>
    </row>
    <row r="71" spans="1:5">
      <c r="A71" t="s">
        <v>0</v>
      </c>
      <c r="B71" t="s">
        <v>94</v>
      </c>
      <c r="C71" s="5">
        <v>45513</v>
      </c>
      <c r="D71">
        <v>198</v>
      </c>
      <c r="E71">
        <f>WEEKNUM(Append321[[#This Row],[Date]])</f>
        <v>32</v>
      </c>
    </row>
    <row r="72" spans="1:5">
      <c r="A72" t="s">
        <v>0</v>
      </c>
      <c r="B72" t="s">
        <v>94</v>
      </c>
      <c r="C72" s="5">
        <v>45514</v>
      </c>
      <c r="D72">
        <v>290</v>
      </c>
      <c r="E72">
        <f>WEEKNUM(Append321[[#This Row],[Date]])</f>
        <v>32</v>
      </c>
    </row>
    <row r="73" spans="1:5">
      <c r="A73" t="s">
        <v>0</v>
      </c>
      <c r="B73" t="s">
        <v>94</v>
      </c>
      <c r="C73" s="5">
        <v>45515</v>
      </c>
      <c r="D73">
        <v>267</v>
      </c>
      <c r="E73">
        <f>WEEKNUM(Append321[[#This Row],[Date]])</f>
        <v>33</v>
      </c>
    </row>
    <row r="74" spans="1:5">
      <c r="A74" t="s">
        <v>0</v>
      </c>
      <c r="B74" t="s">
        <v>94</v>
      </c>
      <c r="C74" s="5">
        <v>45516</v>
      </c>
      <c r="D74">
        <v>296</v>
      </c>
      <c r="E74">
        <f>WEEKNUM(Append321[[#This Row],[Date]])</f>
        <v>33</v>
      </c>
    </row>
    <row r="75" spans="1:5">
      <c r="A75" t="s">
        <v>0</v>
      </c>
      <c r="B75" t="s">
        <v>94</v>
      </c>
      <c r="C75" s="5">
        <v>45517</v>
      </c>
      <c r="D75">
        <v>280</v>
      </c>
      <c r="E75">
        <f>WEEKNUM(Append321[[#This Row],[Date]])</f>
        <v>33</v>
      </c>
    </row>
    <row r="76" spans="1:5">
      <c r="A76" t="s">
        <v>0</v>
      </c>
      <c r="B76" t="s">
        <v>94</v>
      </c>
      <c r="C76" s="5">
        <v>45518</v>
      </c>
      <c r="D76">
        <v>326</v>
      </c>
      <c r="E76">
        <f>WEEKNUM(Append321[[#This Row],[Date]])</f>
        <v>33</v>
      </c>
    </row>
    <row r="77" spans="1:5">
      <c r="A77" t="s">
        <v>0</v>
      </c>
      <c r="B77" t="s">
        <v>94</v>
      </c>
      <c r="C77" s="5">
        <v>45519</v>
      </c>
      <c r="D77">
        <v>318</v>
      </c>
      <c r="E77">
        <f>WEEKNUM(Append321[[#This Row],[Date]])</f>
        <v>33</v>
      </c>
    </row>
    <row r="78" spans="1:5">
      <c r="A78" t="s">
        <v>0</v>
      </c>
      <c r="B78" t="s">
        <v>94</v>
      </c>
      <c r="C78" s="5">
        <v>45520</v>
      </c>
      <c r="D78">
        <v>264</v>
      </c>
      <c r="E78">
        <f>WEEKNUM(Append321[[#This Row],[Date]])</f>
        <v>33</v>
      </c>
    </row>
    <row r="79" spans="1:5">
      <c r="A79" t="s">
        <v>0</v>
      </c>
      <c r="B79" t="s">
        <v>94</v>
      </c>
      <c r="C79" s="5">
        <v>45521</v>
      </c>
      <c r="D79">
        <v>249</v>
      </c>
      <c r="E79">
        <f>WEEKNUM(Append321[[#This Row],[Date]])</f>
        <v>33</v>
      </c>
    </row>
    <row r="80" spans="1:5">
      <c r="A80" t="s">
        <v>0</v>
      </c>
      <c r="B80" t="s">
        <v>94</v>
      </c>
      <c r="C80" s="5">
        <v>45522</v>
      </c>
      <c r="D80">
        <v>258</v>
      </c>
      <c r="E80">
        <f>WEEKNUM(Append321[[#This Row],[Date]])</f>
        <v>34</v>
      </c>
    </row>
    <row r="81" spans="1:5">
      <c r="A81" t="s">
        <v>0</v>
      </c>
      <c r="B81" t="s">
        <v>94</v>
      </c>
      <c r="C81" s="5">
        <v>45523</v>
      </c>
      <c r="D81">
        <v>236</v>
      </c>
      <c r="E81">
        <f>WEEKNUM(Append321[[#This Row],[Date]])</f>
        <v>34</v>
      </c>
    </row>
    <row r="82" spans="1:5">
      <c r="A82" t="s">
        <v>0</v>
      </c>
      <c r="B82" t="s">
        <v>94</v>
      </c>
      <c r="C82" s="5">
        <v>45524</v>
      </c>
      <c r="D82">
        <v>274</v>
      </c>
      <c r="E82">
        <f>WEEKNUM(Append321[[#This Row],[Date]])</f>
        <v>34</v>
      </c>
    </row>
    <row r="83" spans="1:5">
      <c r="A83" t="s">
        <v>0</v>
      </c>
      <c r="B83" t="s">
        <v>94</v>
      </c>
      <c r="C83" s="5">
        <v>45525</v>
      </c>
      <c r="D83">
        <v>290</v>
      </c>
      <c r="E83">
        <f>WEEKNUM(Append321[[#This Row],[Date]])</f>
        <v>34</v>
      </c>
    </row>
    <row r="84" spans="1:5">
      <c r="A84" t="s">
        <v>0</v>
      </c>
      <c r="B84" t="s">
        <v>94</v>
      </c>
      <c r="C84" s="5">
        <v>45526</v>
      </c>
      <c r="D84">
        <v>275</v>
      </c>
      <c r="E84">
        <f>WEEKNUM(Append321[[#This Row],[Date]])</f>
        <v>34</v>
      </c>
    </row>
    <row r="85" spans="1:5">
      <c r="A85" t="s">
        <v>0</v>
      </c>
      <c r="B85" t="s">
        <v>94</v>
      </c>
      <c r="C85" s="5">
        <v>45527</v>
      </c>
      <c r="D85">
        <v>261</v>
      </c>
      <c r="E85">
        <f>WEEKNUM(Append321[[#This Row],[Date]])</f>
        <v>34</v>
      </c>
    </row>
    <row r="86" spans="1:5">
      <c r="A86" t="s">
        <v>0</v>
      </c>
      <c r="B86" t="s">
        <v>94</v>
      </c>
      <c r="C86" s="5">
        <v>45528</v>
      </c>
      <c r="D86">
        <v>296</v>
      </c>
      <c r="E86">
        <f>WEEKNUM(Append321[[#This Row],[Date]])</f>
        <v>34</v>
      </c>
    </row>
    <row r="87" spans="1:5">
      <c r="A87" t="s">
        <v>0</v>
      </c>
      <c r="B87" t="s">
        <v>94</v>
      </c>
      <c r="C87" s="5">
        <v>45529</v>
      </c>
      <c r="D87">
        <v>240</v>
      </c>
      <c r="E87">
        <f>WEEKNUM(Append321[[#This Row],[Date]])</f>
        <v>35</v>
      </c>
    </row>
    <row r="88" spans="1:5">
      <c r="A88" t="s">
        <v>0</v>
      </c>
      <c r="B88" t="s">
        <v>94</v>
      </c>
      <c r="C88" s="5">
        <v>45530</v>
      </c>
      <c r="D88">
        <v>285</v>
      </c>
      <c r="E88">
        <f>WEEKNUM(Append321[[#This Row],[Date]])</f>
        <v>35</v>
      </c>
    </row>
    <row r="89" spans="1:5">
      <c r="A89" t="s">
        <v>0</v>
      </c>
      <c r="B89" t="s">
        <v>94</v>
      </c>
      <c r="C89" s="5">
        <v>45531</v>
      </c>
      <c r="D89">
        <v>205</v>
      </c>
      <c r="E89">
        <f>WEEKNUM(Append321[[#This Row],[Date]])</f>
        <v>35</v>
      </c>
    </row>
    <row r="90" spans="1:5">
      <c r="A90" t="s">
        <v>0</v>
      </c>
      <c r="B90" t="s">
        <v>94</v>
      </c>
      <c r="C90" s="5">
        <v>45532</v>
      </c>
      <c r="D90">
        <v>257</v>
      </c>
      <c r="E90">
        <f>WEEKNUM(Append321[[#This Row],[Date]])</f>
        <v>35</v>
      </c>
    </row>
    <row r="91" spans="1:5">
      <c r="A91" t="s">
        <v>0</v>
      </c>
      <c r="B91" t="s">
        <v>94</v>
      </c>
      <c r="C91" s="5">
        <v>45533</v>
      </c>
      <c r="D91">
        <v>218</v>
      </c>
      <c r="E91">
        <f>WEEKNUM(Append321[[#This Row],[Date]])</f>
        <v>35</v>
      </c>
    </row>
    <row r="92" spans="1:5">
      <c r="A92" t="s">
        <v>0</v>
      </c>
      <c r="B92" t="s">
        <v>94</v>
      </c>
      <c r="C92" s="5">
        <v>45534</v>
      </c>
      <c r="D92">
        <v>188</v>
      </c>
      <c r="E92">
        <f>WEEKNUM(Append321[[#This Row],[Date]])</f>
        <v>35</v>
      </c>
    </row>
    <row r="93" spans="1:5">
      <c r="A93" t="s">
        <v>0</v>
      </c>
      <c r="B93" t="s">
        <v>94</v>
      </c>
      <c r="C93" s="5">
        <v>45535</v>
      </c>
      <c r="D93">
        <v>247</v>
      </c>
      <c r="E93">
        <f>WEEKNUM(Append321[[#This Row],[Date]])</f>
        <v>35</v>
      </c>
    </row>
    <row r="94" spans="1:5">
      <c r="A94" t="s">
        <v>0</v>
      </c>
      <c r="B94" t="s">
        <v>95</v>
      </c>
      <c r="C94" s="5">
        <v>45444</v>
      </c>
      <c r="D94">
        <v>221</v>
      </c>
      <c r="E94">
        <f>WEEKNUM(Append321[[#This Row],[Date]])</f>
        <v>22</v>
      </c>
    </row>
    <row r="95" spans="1:5">
      <c r="A95" t="s">
        <v>0</v>
      </c>
      <c r="B95" t="s">
        <v>95</v>
      </c>
      <c r="C95" s="5">
        <v>45445</v>
      </c>
      <c r="D95">
        <v>219</v>
      </c>
      <c r="E95">
        <f>WEEKNUM(Append321[[#This Row],[Date]])</f>
        <v>23</v>
      </c>
    </row>
    <row r="96" spans="1:5">
      <c r="A96" t="s">
        <v>0</v>
      </c>
      <c r="B96" t="s">
        <v>95</v>
      </c>
      <c r="C96" s="5">
        <v>45446</v>
      </c>
      <c r="D96">
        <v>252</v>
      </c>
      <c r="E96">
        <f>WEEKNUM(Append321[[#This Row],[Date]])</f>
        <v>23</v>
      </c>
    </row>
    <row r="97" spans="1:5">
      <c r="A97" t="s">
        <v>0</v>
      </c>
      <c r="B97" t="s">
        <v>95</v>
      </c>
      <c r="C97" s="5">
        <v>45447</v>
      </c>
      <c r="D97">
        <v>232</v>
      </c>
      <c r="E97">
        <f>WEEKNUM(Append321[[#This Row],[Date]])</f>
        <v>23</v>
      </c>
    </row>
    <row r="98" spans="1:5">
      <c r="A98" t="s">
        <v>0</v>
      </c>
      <c r="B98" t="s">
        <v>95</v>
      </c>
      <c r="C98" s="5">
        <v>45448</v>
      </c>
      <c r="D98">
        <v>239</v>
      </c>
      <c r="E98">
        <f>WEEKNUM(Append321[[#This Row],[Date]])</f>
        <v>23</v>
      </c>
    </row>
    <row r="99" spans="1:5">
      <c r="A99" t="s">
        <v>0</v>
      </c>
      <c r="B99" t="s">
        <v>95</v>
      </c>
      <c r="C99" s="5">
        <v>45449</v>
      </c>
      <c r="D99">
        <v>208</v>
      </c>
      <c r="E99">
        <f>WEEKNUM(Append321[[#This Row],[Date]])</f>
        <v>23</v>
      </c>
    </row>
    <row r="100" spans="1:5">
      <c r="A100" t="s">
        <v>0</v>
      </c>
      <c r="B100" t="s">
        <v>95</v>
      </c>
      <c r="C100" s="5">
        <v>45450</v>
      </c>
      <c r="D100">
        <v>223</v>
      </c>
      <c r="E100">
        <f>WEEKNUM(Append321[[#This Row],[Date]])</f>
        <v>23</v>
      </c>
    </row>
    <row r="101" spans="1:5">
      <c r="A101" t="s">
        <v>0</v>
      </c>
      <c r="B101" t="s">
        <v>95</v>
      </c>
      <c r="C101" s="5">
        <v>45451</v>
      </c>
      <c r="D101">
        <v>212</v>
      </c>
      <c r="E101">
        <f>WEEKNUM(Append321[[#This Row],[Date]])</f>
        <v>23</v>
      </c>
    </row>
    <row r="102" spans="1:5">
      <c r="A102" t="s">
        <v>0</v>
      </c>
      <c r="B102" t="s">
        <v>95</v>
      </c>
      <c r="C102" s="5">
        <v>45452</v>
      </c>
      <c r="D102">
        <v>218</v>
      </c>
      <c r="E102">
        <f>WEEKNUM(Append321[[#This Row],[Date]])</f>
        <v>24</v>
      </c>
    </row>
    <row r="103" spans="1:5">
      <c r="A103" t="s">
        <v>0</v>
      </c>
      <c r="B103" t="s">
        <v>95</v>
      </c>
      <c r="C103" s="5">
        <v>45453</v>
      </c>
      <c r="D103">
        <v>200</v>
      </c>
      <c r="E103">
        <f>WEEKNUM(Append321[[#This Row],[Date]])</f>
        <v>24</v>
      </c>
    </row>
    <row r="104" spans="1:5">
      <c r="A104" t="s">
        <v>0</v>
      </c>
      <c r="B104" t="s">
        <v>95</v>
      </c>
      <c r="C104" s="5">
        <v>45454</v>
      </c>
      <c r="D104">
        <v>226</v>
      </c>
      <c r="E104">
        <f>WEEKNUM(Append321[[#This Row],[Date]])</f>
        <v>24</v>
      </c>
    </row>
    <row r="105" spans="1:5">
      <c r="A105" t="s">
        <v>0</v>
      </c>
      <c r="B105" t="s">
        <v>95</v>
      </c>
      <c r="C105" s="5">
        <v>45455</v>
      </c>
      <c r="D105">
        <v>242</v>
      </c>
      <c r="E105">
        <f>WEEKNUM(Append321[[#This Row],[Date]])</f>
        <v>24</v>
      </c>
    </row>
    <row r="106" spans="1:5">
      <c r="A106" t="s">
        <v>0</v>
      </c>
      <c r="B106" t="s">
        <v>95</v>
      </c>
      <c r="C106" s="5">
        <v>45456</v>
      </c>
      <c r="D106">
        <v>245</v>
      </c>
      <c r="E106">
        <f>WEEKNUM(Append321[[#This Row],[Date]])</f>
        <v>24</v>
      </c>
    </row>
    <row r="107" spans="1:5">
      <c r="A107" t="s">
        <v>0</v>
      </c>
      <c r="B107" t="s">
        <v>95</v>
      </c>
      <c r="C107" s="5">
        <v>45457</v>
      </c>
      <c r="D107">
        <v>197</v>
      </c>
      <c r="E107">
        <f>WEEKNUM(Append321[[#This Row],[Date]])</f>
        <v>24</v>
      </c>
    </row>
    <row r="108" spans="1:5">
      <c r="A108" t="s">
        <v>0</v>
      </c>
      <c r="B108" t="s">
        <v>95</v>
      </c>
      <c r="C108" s="5">
        <v>45458</v>
      </c>
      <c r="D108">
        <v>227</v>
      </c>
      <c r="E108">
        <f>WEEKNUM(Append321[[#This Row],[Date]])</f>
        <v>24</v>
      </c>
    </row>
    <row r="109" spans="1:5">
      <c r="A109" t="s">
        <v>0</v>
      </c>
      <c r="B109" t="s">
        <v>95</v>
      </c>
      <c r="C109" s="5">
        <v>45459</v>
      </c>
      <c r="D109">
        <v>220</v>
      </c>
      <c r="E109">
        <f>WEEKNUM(Append321[[#This Row],[Date]])</f>
        <v>25</v>
      </c>
    </row>
    <row r="110" spans="1:5">
      <c r="A110" t="s">
        <v>0</v>
      </c>
      <c r="B110" t="s">
        <v>95</v>
      </c>
      <c r="C110" s="5">
        <v>45460</v>
      </c>
      <c r="D110">
        <v>224</v>
      </c>
      <c r="E110">
        <f>WEEKNUM(Append321[[#This Row],[Date]])</f>
        <v>25</v>
      </c>
    </row>
    <row r="111" spans="1:5">
      <c r="A111" t="s">
        <v>0</v>
      </c>
      <c r="B111" t="s">
        <v>95</v>
      </c>
      <c r="C111" s="5">
        <v>45461</v>
      </c>
      <c r="D111">
        <v>222</v>
      </c>
      <c r="E111">
        <f>WEEKNUM(Append321[[#This Row],[Date]])</f>
        <v>25</v>
      </c>
    </row>
    <row r="112" spans="1:5">
      <c r="A112" t="s">
        <v>0</v>
      </c>
      <c r="B112" t="s">
        <v>95</v>
      </c>
      <c r="C112" s="5">
        <v>45462</v>
      </c>
      <c r="D112">
        <v>199</v>
      </c>
      <c r="E112">
        <f>WEEKNUM(Append321[[#This Row],[Date]])</f>
        <v>25</v>
      </c>
    </row>
    <row r="113" spans="1:5">
      <c r="A113" t="s">
        <v>0</v>
      </c>
      <c r="B113" t="s">
        <v>95</v>
      </c>
      <c r="C113" s="5">
        <v>45463</v>
      </c>
      <c r="D113">
        <v>214</v>
      </c>
      <c r="E113">
        <f>WEEKNUM(Append321[[#This Row],[Date]])</f>
        <v>25</v>
      </c>
    </row>
    <row r="114" spans="1:5">
      <c r="A114" t="s">
        <v>0</v>
      </c>
      <c r="B114" t="s">
        <v>95</v>
      </c>
      <c r="C114" s="5">
        <v>45464</v>
      </c>
      <c r="D114">
        <v>217</v>
      </c>
      <c r="E114">
        <f>WEEKNUM(Append321[[#This Row],[Date]])</f>
        <v>25</v>
      </c>
    </row>
    <row r="115" spans="1:5">
      <c r="A115" t="s">
        <v>0</v>
      </c>
      <c r="B115" t="s">
        <v>95</v>
      </c>
      <c r="C115" s="5">
        <v>45465</v>
      </c>
      <c r="D115">
        <v>205</v>
      </c>
      <c r="E115">
        <f>WEEKNUM(Append321[[#This Row],[Date]])</f>
        <v>25</v>
      </c>
    </row>
    <row r="116" spans="1:5">
      <c r="A116" t="s">
        <v>0</v>
      </c>
      <c r="B116" t="s">
        <v>95</v>
      </c>
      <c r="C116" s="5">
        <v>45466</v>
      </c>
      <c r="D116">
        <v>204</v>
      </c>
      <c r="E116">
        <f>WEEKNUM(Append321[[#This Row],[Date]])</f>
        <v>26</v>
      </c>
    </row>
    <row r="117" spans="1:5">
      <c r="A117" t="s">
        <v>0</v>
      </c>
      <c r="B117" t="s">
        <v>95</v>
      </c>
      <c r="C117" s="5">
        <v>45467</v>
      </c>
      <c r="D117">
        <v>250</v>
      </c>
      <c r="E117">
        <f>WEEKNUM(Append321[[#This Row],[Date]])</f>
        <v>26</v>
      </c>
    </row>
    <row r="118" spans="1:5">
      <c r="A118" t="s">
        <v>0</v>
      </c>
      <c r="B118" t="s">
        <v>95</v>
      </c>
      <c r="C118" s="5">
        <v>45468</v>
      </c>
      <c r="D118">
        <v>249</v>
      </c>
      <c r="E118">
        <f>WEEKNUM(Append321[[#This Row],[Date]])</f>
        <v>26</v>
      </c>
    </row>
    <row r="119" spans="1:5">
      <c r="A119" t="s">
        <v>0</v>
      </c>
      <c r="B119" t="s">
        <v>95</v>
      </c>
      <c r="C119" s="5">
        <v>45469</v>
      </c>
      <c r="D119">
        <v>232</v>
      </c>
      <c r="E119">
        <f>WEEKNUM(Append321[[#This Row],[Date]])</f>
        <v>26</v>
      </c>
    </row>
    <row r="120" spans="1:5">
      <c r="A120" t="s">
        <v>0</v>
      </c>
      <c r="B120" t="s">
        <v>95</v>
      </c>
      <c r="C120" s="5">
        <v>45470</v>
      </c>
      <c r="D120">
        <v>217</v>
      </c>
      <c r="E120">
        <f>WEEKNUM(Append321[[#This Row],[Date]])</f>
        <v>26</v>
      </c>
    </row>
    <row r="121" spans="1:5">
      <c r="A121" t="s">
        <v>0</v>
      </c>
      <c r="B121" t="s">
        <v>95</v>
      </c>
      <c r="C121" s="5">
        <v>45471</v>
      </c>
      <c r="D121">
        <v>232</v>
      </c>
      <c r="E121">
        <f>WEEKNUM(Append321[[#This Row],[Date]])</f>
        <v>26</v>
      </c>
    </row>
    <row r="122" spans="1:5">
      <c r="A122" t="s">
        <v>0</v>
      </c>
      <c r="B122" t="s">
        <v>95</v>
      </c>
      <c r="C122" s="5">
        <v>45472</v>
      </c>
      <c r="D122">
        <v>220</v>
      </c>
      <c r="E122">
        <f>WEEKNUM(Append321[[#This Row],[Date]])</f>
        <v>26</v>
      </c>
    </row>
    <row r="123" spans="1:5">
      <c r="A123" t="s">
        <v>0</v>
      </c>
      <c r="B123" t="s">
        <v>95</v>
      </c>
      <c r="C123" s="5">
        <v>45473</v>
      </c>
      <c r="D123">
        <v>209</v>
      </c>
      <c r="E123">
        <f>WEEKNUM(Append321[[#This Row],[Date]])</f>
        <v>27</v>
      </c>
    </row>
    <row r="124" spans="1:5">
      <c r="A124" t="s">
        <v>0</v>
      </c>
      <c r="B124" t="s">
        <v>95</v>
      </c>
      <c r="C124" s="5">
        <v>45474</v>
      </c>
      <c r="D124">
        <v>227</v>
      </c>
      <c r="E124">
        <f>WEEKNUM(Append321[[#This Row],[Date]])</f>
        <v>27</v>
      </c>
    </row>
    <row r="125" spans="1:5">
      <c r="A125" t="s">
        <v>0</v>
      </c>
      <c r="B125" t="s">
        <v>95</v>
      </c>
      <c r="C125" s="5">
        <v>45475</v>
      </c>
      <c r="D125">
        <v>240</v>
      </c>
      <c r="E125">
        <f>WEEKNUM(Append321[[#This Row],[Date]])</f>
        <v>27</v>
      </c>
    </row>
    <row r="126" spans="1:5">
      <c r="A126" t="s">
        <v>0</v>
      </c>
      <c r="B126" t="s">
        <v>95</v>
      </c>
      <c r="C126" s="5">
        <v>45476</v>
      </c>
      <c r="D126">
        <v>230</v>
      </c>
      <c r="E126">
        <f>WEEKNUM(Append321[[#This Row],[Date]])</f>
        <v>27</v>
      </c>
    </row>
    <row r="127" spans="1:5">
      <c r="A127" t="s">
        <v>0</v>
      </c>
      <c r="B127" t="s">
        <v>95</v>
      </c>
      <c r="C127" s="5">
        <v>45477</v>
      </c>
      <c r="D127">
        <v>223</v>
      </c>
      <c r="E127">
        <f>WEEKNUM(Append321[[#This Row],[Date]])</f>
        <v>27</v>
      </c>
    </row>
    <row r="128" spans="1:5">
      <c r="A128" t="s">
        <v>0</v>
      </c>
      <c r="B128" t="s">
        <v>95</v>
      </c>
      <c r="C128" s="5">
        <v>45478</v>
      </c>
      <c r="D128">
        <v>221</v>
      </c>
      <c r="E128">
        <f>WEEKNUM(Append321[[#This Row],[Date]])</f>
        <v>27</v>
      </c>
    </row>
    <row r="129" spans="1:5">
      <c r="A129" t="s">
        <v>0</v>
      </c>
      <c r="B129" t="s">
        <v>95</v>
      </c>
      <c r="C129" s="5">
        <v>45479</v>
      </c>
      <c r="D129">
        <v>220</v>
      </c>
      <c r="E129">
        <f>WEEKNUM(Append321[[#This Row],[Date]])</f>
        <v>27</v>
      </c>
    </row>
    <row r="130" spans="1:5">
      <c r="A130" t="s">
        <v>0</v>
      </c>
      <c r="B130" t="s">
        <v>95</v>
      </c>
      <c r="C130" s="5">
        <v>45480</v>
      </c>
      <c r="D130">
        <v>195</v>
      </c>
      <c r="E130">
        <f>WEEKNUM(Append321[[#This Row],[Date]])</f>
        <v>28</v>
      </c>
    </row>
    <row r="131" spans="1:5">
      <c r="A131" t="s">
        <v>0</v>
      </c>
      <c r="B131" t="s">
        <v>95</v>
      </c>
      <c r="C131" s="5">
        <v>45481</v>
      </c>
      <c r="D131">
        <v>191</v>
      </c>
      <c r="E131">
        <f>WEEKNUM(Append321[[#This Row],[Date]])</f>
        <v>28</v>
      </c>
    </row>
    <row r="132" spans="1:5">
      <c r="A132" t="s">
        <v>0</v>
      </c>
      <c r="B132" t="s">
        <v>95</v>
      </c>
      <c r="C132" s="5">
        <v>45482</v>
      </c>
      <c r="D132">
        <v>226</v>
      </c>
      <c r="E132">
        <f>WEEKNUM(Append321[[#This Row],[Date]])</f>
        <v>28</v>
      </c>
    </row>
    <row r="133" spans="1:5">
      <c r="A133" t="s">
        <v>0</v>
      </c>
      <c r="B133" t="s">
        <v>95</v>
      </c>
      <c r="C133" s="5">
        <v>45483</v>
      </c>
      <c r="D133">
        <v>239</v>
      </c>
      <c r="E133">
        <f>WEEKNUM(Append321[[#This Row],[Date]])</f>
        <v>28</v>
      </c>
    </row>
    <row r="134" spans="1:5">
      <c r="A134" t="s">
        <v>0</v>
      </c>
      <c r="B134" t="s">
        <v>95</v>
      </c>
      <c r="C134" s="5">
        <v>45484</v>
      </c>
      <c r="D134">
        <v>285</v>
      </c>
      <c r="E134">
        <f>WEEKNUM(Append321[[#This Row],[Date]])</f>
        <v>28</v>
      </c>
    </row>
    <row r="135" spans="1:5">
      <c r="A135" t="s">
        <v>0</v>
      </c>
      <c r="B135" t="s">
        <v>95</v>
      </c>
      <c r="C135" s="5">
        <v>45485</v>
      </c>
      <c r="D135">
        <v>267</v>
      </c>
      <c r="E135">
        <f>WEEKNUM(Append321[[#This Row],[Date]])</f>
        <v>28</v>
      </c>
    </row>
    <row r="136" spans="1:5">
      <c r="A136" t="s">
        <v>0</v>
      </c>
      <c r="B136" t="s">
        <v>95</v>
      </c>
      <c r="C136" s="5">
        <v>45486</v>
      </c>
      <c r="D136">
        <v>281</v>
      </c>
      <c r="E136">
        <f>WEEKNUM(Append321[[#This Row],[Date]])</f>
        <v>28</v>
      </c>
    </row>
    <row r="137" spans="1:5">
      <c r="A137" t="s">
        <v>0</v>
      </c>
      <c r="B137" t="s">
        <v>95</v>
      </c>
      <c r="C137" s="5">
        <v>45487</v>
      </c>
      <c r="D137">
        <v>269</v>
      </c>
      <c r="E137">
        <f>WEEKNUM(Append321[[#This Row],[Date]])</f>
        <v>29</v>
      </c>
    </row>
    <row r="138" spans="1:5">
      <c r="A138" t="s">
        <v>0</v>
      </c>
      <c r="B138" t="s">
        <v>95</v>
      </c>
      <c r="C138" s="5">
        <v>45488</v>
      </c>
      <c r="D138">
        <v>303</v>
      </c>
      <c r="E138">
        <f>WEEKNUM(Append321[[#This Row],[Date]])</f>
        <v>29</v>
      </c>
    </row>
    <row r="139" spans="1:5">
      <c r="A139" t="s">
        <v>0</v>
      </c>
      <c r="B139" t="s">
        <v>95</v>
      </c>
      <c r="C139" s="5">
        <v>45489</v>
      </c>
      <c r="D139">
        <v>303</v>
      </c>
      <c r="E139">
        <f>WEEKNUM(Append321[[#This Row],[Date]])</f>
        <v>29</v>
      </c>
    </row>
    <row r="140" spans="1:5">
      <c r="A140" t="s">
        <v>0</v>
      </c>
      <c r="B140" t="s">
        <v>95</v>
      </c>
      <c r="C140" s="5">
        <v>45490</v>
      </c>
      <c r="D140">
        <v>315</v>
      </c>
      <c r="E140">
        <f>WEEKNUM(Append321[[#This Row],[Date]])</f>
        <v>29</v>
      </c>
    </row>
    <row r="141" spans="1:5">
      <c r="A141" t="s">
        <v>0</v>
      </c>
      <c r="B141" t="s">
        <v>95</v>
      </c>
      <c r="C141" s="5">
        <v>45491</v>
      </c>
      <c r="D141">
        <v>269</v>
      </c>
      <c r="E141">
        <f>WEEKNUM(Append321[[#This Row],[Date]])</f>
        <v>29</v>
      </c>
    </row>
    <row r="142" spans="1:5">
      <c r="A142" t="s">
        <v>0</v>
      </c>
      <c r="B142" t="s">
        <v>95</v>
      </c>
      <c r="C142" s="5">
        <v>45492</v>
      </c>
      <c r="D142">
        <v>231</v>
      </c>
      <c r="E142">
        <f>WEEKNUM(Append321[[#This Row],[Date]])</f>
        <v>29</v>
      </c>
    </row>
    <row r="143" spans="1:5">
      <c r="A143" t="s">
        <v>0</v>
      </c>
      <c r="B143" t="s">
        <v>95</v>
      </c>
      <c r="C143" s="5">
        <v>45493</v>
      </c>
      <c r="D143">
        <v>285</v>
      </c>
      <c r="E143">
        <f>WEEKNUM(Append321[[#This Row],[Date]])</f>
        <v>29</v>
      </c>
    </row>
    <row r="144" spans="1:5">
      <c r="A144" t="s">
        <v>0</v>
      </c>
      <c r="B144" t="s">
        <v>95</v>
      </c>
      <c r="C144" s="5">
        <v>45494</v>
      </c>
      <c r="D144">
        <v>285</v>
      </c>
      <c r="E144">
        <f>WEEKNUM(Append321[[#This Row],[Date]])</f>
        <v>30</v>
      </c>
    </row>
    <row r="145" spans="1:5">
      <c r="A145" t="s">
        <v>0</v>
      </c>
      <c r="B145" t="s">
        <v>95</v>
      </c>
      <c r="C145" s="5">
        <v>45495</v>
      </c>
      <c r="D145">
        <v>312</v>
      </c>
      <c r="E145">
        <f>WEEKNUM(Append321[[#This Row],[Date]])</f>
        <v>30</v>
      </c>
    </row>
    <row r="146" spans="1:5">
      <c r="A146" t="s">
        <v>0</v>
      </c>
      <c r="B146" t="s">
        <v>95</v>
      </c>
      <c r="C146" s="5">
        <v>45496</v>
      </c>
      <c r="D146">
        <v>308</v>
      </c>
      <c r="E146">
        <f>WEEKNUM(Append321[[#This Row],[Date]])</f>
        <v>30</v>
      </c>
    </row>
    <row r="147" spans="1:5">
      <c r="A147" t="s">
        <v>0</v>
      </c>
      <c r="B147" t="s">
        <v>95</v>
      </c>
      <c r="C147" s="5">
        <v>45497</v>
      </c>
      <c r="D147">
        <v>313</v>
      </c>
      <c r="E147">
        <f>WEEKNUM(Append321[[#This Row],[Date]])</f>
        <v>30</v>
      </c>
    </row>
    <row r="148" spans="1:5">
      <c r="A148" t="s">
        <v>0</v>
      </c>
      <c r="B148" t="s">
        <v>95</v>
      </c>
      <c r="C148" s="5">
        <v>45498</v>
      </c>
      <c r="D148">
        <v>265</v>
      </c>
      <c r="E148">
        <f>WEEKNUM(Append321[[#This Row],[Date]])</f>
        <v>30</v>
      </c>
    </row>
    <row r="149" spans="1:5">
      <c r="A149" t="s">
        <v>0</v>
      </c>
      <c r="B149" t="s">
        <v>95</v>
      </c>
      <c r="C149" s="5">
        <v>45499</v>
      </c>
      <c r="D149">
        <v>299</v>
      </c>
      <c r="E149">
        <f>WEEKNUM(Append321[[#This Row],[Date]])</f>
        <v>30</v>
      </c>
    </row>
    <row r="150" spans="1:5">
      <c r="A150" t="s">
        <v>0</v>
      </c>
      <c r="B150" t="s">
        <v>95</v>
      </c>
      <c r="C150" s="5">
        <v>45500</v>
      </c>
      <c r="D150">
        <v>284</v>
      </c>
      <c r="E150">
        <f>WEEKNUM(Append321[[#This Row],[Date]])</f>
        <v>30</v>
      </c>
    </row>
    <row r="151" spans="1:5">
      <c r="A151" t="s">
        <v>0</v>
      </c>
      <c r="B151" t="s">
        <v>95</v>
      </c>
      <c r="C151" s="5">
        <v>45501</v>
      </c>
      <c r="D151">
        <v>282</v>
      </c>
      <c r="E151">
        <f>WEEKNUM(Append321[[#This Row],[Date]])</f>
        <v>31</v>
      </c>
    </row>
    <row r="152" spans="1:5">
      <c r="A152" t="s">
        <v>0</v>
      </c>
      <c r="B152" t="s">
        <v>95</v>
      </c>
      <c r="C152" s="5">
        <v>45502</v>
      </c>
      <c r="D152">
        <v>298</v>
      </c>
      <c r="E152">
        <f>WEEKNUM(Append321[[#This Row],[Date]])</f>
        <v>31</v>
      </c>
    </row>
    <row r="153" spans="1:5">
      <c r="A153" t="s">
        <v>0</v>
      </c>
      <c r="B153" t="s">
        <v>95</v>
      </c>
      <c r="C153" s="5">
        <v>45503</v>
      </c>
      <c r="D153">
        <v>316</v>
      </c>
      <c r="E153">
        <f>WEEKNUM(Append321[[#This Row],[Date]])</f>
        <v>31</v>
      </c>
    </row>
    <row r="154" spans="1:5">
      <c r="A154" t="s">
        <v>0</v>
      </c>
      <c r="B154" t="s">
        <v>95</v>
      </c>
      <c r="C154" s="5">
        <v>45504</v>
      </c>
      <c r="D154">
        <v>329</v>
      </c>
      <c r="E154">
        <f>WEEKNUM(Append321[[#This Row],[Date]])</f>
        <v>31</v>
      </c>
    </row>
    <row r="155" spans="1:5">
      <c r="A155" t="s">
        <v>0</v>
      </c>
      <c r="B155" t="s">
        <v>95</v>
      </c>
      <c r="C155" s="5">
        <v>45505</v>
      </c>
      <c r="D155">
        <v>304</v>
      </c>
      <c r="E155">
        <f>WEEKNUM(Append321[[#This Row],[Date]])</f>
        <v>31</v>
      </c>
    </row>
    <row r="156" spans="1:5">
      <c r="A156" t="s">
        <v>0</v>
      </c>
      <c r="B156" t="s">
        <v>95</v>
      </c>
      <c r="C156" s="5">
        <v>45506</v>
      </c>
      <c r="D156">
        <v>294</v>
      </c>
      <c r="E156">
        <f>WEEKNUM(Append321[[#This Row],[Date]])</f>
        <v>31</v>
      </c>
    </row>
    <row r="157" spans="1:5">
      <c r="A157" t="s">
        <v>0</v>
      </c>
      <c r="B157" t="s">
        <v>95</v>
      </c>
      <c r="C157" s="5">
        <v>45507</v>
      </c>
      <c r="D157">
        <v>363</v>
      </c>
      <c r="E157">
        <f>WEEKNUM(Append321[[#This Row],[Date]])</f>
        <v>31</v>
      </c>
    </row>
    <row r="158" spans="1:5">
      <c r="A158" t="s">
        <v>0</v>
      </c>
      <c r="B158" t="s">
        <v>95</v>
      </c>
      <c r="C158" s="5">
        <v>45508</v>
      </c>
      <c r="D158">
        <v>316</v>
      </c>
      <c r="E158">
        <f>WEEKNUM(Append321[[#This Row],[Date]])</f>
        <v>32</v>
      </c>
    </row>
    <row r="159" spans="1:5">
      <c r="A159" t="s">
        <v>0</v>
      </c>
      <c r="B159" t="s">
        <v>95</v>
      </c>
      <c r="C159" s="5">
        <v>45509</v>
      </c>
      <c r="D159">
        <v>368</v>
      </c>
      <c r="E159">
        <f>WEEKNUM(Append321[[#This Row],[Date]])</f>
        <v>32</v>
      </c>
    </row>
    <row r="160" spans="1:5">
      <c r="A160" t="s">
        <v>0</v>
      </c>
      <c r="B160" t="s">
        <v>95</v>
      </c>
      <c r="C160" s="5">
        <v>45510</v>
      </c>
      <c r="D160">
        <v>339</v>
      </c>
      <c r="E160">
        <f>WEEKNUM(Append321[[#This Row],[Date]])</f>
        <v>32</v>
      </c>
    </row>
    <row r="161" spans="1:5">
      <c r="A161" t="s">
        <v>0</v>
      </c>
      <c r="B161" t="s">
        <v>95</v>
      </c>
      <c r="C161" s="5">
        <v>45511</v>
      </c>
      <c r="D161">
        <v>351</v>
      </c>
      <c r="E161">
        <f>WEEKNUM(Append321[[#This Row],[Date]])</f>
        <v>32</v>
      </c>
    </row>
    <row r="162" spans="1:5">
      <c r="A162" t="s">
        <v>0</v>
      </c>
      <c r="B162" t="s">
        <v>95</v>
      </c>
      <c r="C162" s="5">
        <v>45512</v>
      </c>
      <c r="D162">
        <v>326</v>
      </c>
      <c r="E162">
        <f>WEEKNUM(Append321[[#This Row],[Date]])</f>
        <v>32</v>
      </c>
    </row>
    <row r="163" spans="1:5">
      <c r="A163" t="s">
        <v>0</v>
      </c>
      <c r="B163" t="s">
        <v>95</v>
      </c>
      <c r="C163" s="5">
        <v>45513</v>
      </c>
      <c r="D163">
        <v>278</v>
      </c>
      <c r="E163">
        <f>WEEKNUM(Append321[[#This Row],[Date]])</f>
        <v>32</v>
      </c>
    </row>
    <row r="164" spans="1:5">
      <c r="A164" t="s">
        <v>0</v>
      </c>
      <c r="B164" t="s">
        <v>95</v>
      </c>
      <c r="C164" s="5">
        <v>45514</v>
      </c>
      <c r="D164">
        <v>401</v>
      </c>
      <c r="E164">
        <f>WEEKNUM(Append321[[#This Row],[Date]])</f>
        <v>32</v>
      </c>
    </row>
    <row r="165" spans="1:5">
      <c r="A165" t="s">
        <v>0</v>
      </c>
      <c r="B165" t="s">
        <v>95</v>
      </c>
      <c r="C165" s="5">
        <v>45515</v>
      </c>
      <c r="D165">
        <v>321</v>
      </c>
      <c r="E165">
        <f>WEEKNUM(Append321[[#This Row],[Date]])</f>
        <v>33</v>
      </c>
    </row>
    <row r="166" spans="1:5">
      <c r="A166" t="s">
        <v>0</v>
      </c>
      <c r="B166" t="s">
        <v>95</v>
      </c>
      <c r="C166" s="5">
        <v>45516</v>
      </c>
      <c r="D166">
        <v>318</v>
      </c>
      <c r="E166">
        <f>WEEKNUM(Append321[[#This Row],[Date]])</f>
        <v>33</v>
      </c>
    </row>
    <row r="167" spans="1:5">
      <c r="A167" t="s">
        <v>0</v>
      </c>
      <c r="B167" t="s">
        <v>95</v>
      </c>
      <c r="C167" s="5">
        <v>45517</v>
      </c>
      <c r="D167">
        <v>360</v>
      </c>
      <c r="E167">
        <f>WEEKNUM(Append321[[#This Row],[Date]])</f>
        <v>33</v>
      </c>
    </row>
    <row r="168" spans="1:5">
      <c r="A168" t="s">
        <v>0</v>
      </c>
      <c r="B168" t="s">
        <v>95</v>
      </c>
      <c r="C168" s="5">
        <v>45518</v>
      </c>
      <c r="D168">
        <v>349</v>
      </c>
      <c r="E168">
        <f>WEEKNUM(Append321[[#This Row],[Date]])</f>
        <v>33</v>
      </c>
    </row>
    <row r="169" spans="1:5">
      <c r="A169" t="s">
        <v>0</v>
      </c>
      <c r="B169" t="s">
        <v>95</v>
      </c>
      <c r="C169" s="5">
        <v>45519</v>
      </c>
      <c r="D169">
        <v>304</v>
      </c>
      <c r="E169">
        <f>WEEKNUM(Append321[[#This Row],[Date]])</f>
        <v>33</v>
      </c>
    </row>
    <row r="170" spans="1:5">
      <c r="A170" t="s">
        <v>0</v>
      </c>
      <c r="B170" t="s">
        <v>95</v>
      </c>
      <c r="C170" s="5">
        <v>45520</v>
      </c>
      <c r="D170">
        <v>289</v>
      </c>
      <c r="E170">
        <f>WEEKNUM(Append321[[#This Row],[Date]])</f>
        <v>33</v>
      </c>
    </row>
    <row r="171" spans="1:5">
      <c r="A171" t="s">
        <v>0</v>
      </c>
      <c r="B171" t="s">
        <v>95</v>
      </c>
      <c r="C171" s="5">
        <v>45521</v>
      </c>
      <c r="D171">
        <v>321</v>
      </c>
      <c r="E171">
        <f>WEEKNUM(Append321[[#This Row],[Date]])</f>
        <v>33</v>
      </c>
    </row>
    <row r="172" spans="1:5">
      <c r="A172" t="s">
        <v>0</v>
      </c>
      <c r="B172" t="s">
        <v>95</v>
      </c>
      <c r="C172" s="5">
        <v>45522</v>
      </c>
      <c r="D172">
        <v>272</v>
      </c>
      <c r="E172">
        <f>WEEKNUM(Append321[[#This Row],[Date]])</f>
        <v>34</v>
      </c>
    </row>
    <row r="173" spans="1:5">
      <c r="A173" t="s">
        <v>0</v>
      </c>
      <c r="B173" t="s">
        <v>95</v>
      </c>
      <c r="C173" s="5">
        <v>45523</v>
      </c>
      <c r="D173">
        <v>316</v>
      </c>
      <c r="E173">
        <f>WEEKNUM(Append321[[#This Row],[Date]])</f>
        <v>34</v>
      </c>
    </row>
    <row r="174" spans="1:5">
      <c r="A174" t="s">
        <v>0</v>
      </c>
      <c r="B174" t="s">
        <v>95</v>
      </c>
      <c r="C174" s="5">
        <v>45524</v>
      </c>
      <c r="D174">
        <v>282</v>
      </c>
      <c r="E174">
        <f>WEEKNUM(Append321[[#This Row],[Date]])</f>
        <v>34</v>
      </c>
    </row>
    <row r="175" spans="1:5">
      <c r="A175" t="s">
        <v>0</v>
      </c>
      <c r="B175" t="s">
        <v>95</v>
      </c>
      <c r="C175" s="5">
        <v>45525</v>
      </c>
      <c r="D175">
        <v>320</v>
      </c>
      <c r="E175">
        <f>WEEKNUM(Append321[[#This Row],[Date]])</f>
        <v>34</v>
      </c>
    </row>
    <row r="176" spans="1:5">
      <c r="A176" t="s">
        <v>0</v>
      </c>
      <c r="B176" t="s">
        <v>95</v>
      </c>
      <c r="C176" s="5">
        <v>45526</v>
      </c>
      <c r="D176">
        <v>298</v>
      </c>
      <c r="E176">
        <f>WEEKNUM(Append321[[#This Row],[Date]])</f>
        <v>34</v>
      </c>
    </row>
    <row r="177" spans="1:5">
      <c r="A177" t="s">
        <v>0</v>
      </c>
      <c r="B177" t="s">
        <v>95</v>
      </c>
      <c r="C177" s="5">
        <v>45527</v>
      </c>
      <c r="D177">
        <v>334</v>
      </c>
      <c r="E177">
        <f>WEEKNUM(Append321[[#This Row],[Date]])</f>
        <v>34</v>
      </c>
    </row>
    <row r="178" spans="1:5">
      <c r="A178" t="s">
        <v>0</v>
      </c>
      <c r="B178" t="s">
        <v>95</v>
      </c>
      <c r="C178" s="5">
        <v>45528</v>
      </c>
      <c r="D178">
        <v>328</v>
      </c>
      <c r="E178">
        <f>WEEKNUM(Append321[[#This Row],[Date]])</f>
        <v>34</v>
      </c>
    </row>
    <row r="179" spans="1:5">
      <c r="A179" t="s">
        <v>0</v>
      </c>
      <c r="B179" t="s">
        <v>95</v>
      </c>
      <c r="C179" s="5">
        <v>45529</v>
      </c>
      <c r="D179">
        <v>282</v>
      </c>
      <c r="E179">
        <f>WEEKNUM(Append321[[#This Row],[Date]])</f>
        <v>35</v>
      </c>
    </row>
    <row r="180" spans="1:5">
      <c r="A180" t="s">
        <v>0</v>
      </c>
      <c r="B180" t="s">
        <v>95</v>
      </c>
      <c r="C180" s="5">
        <v>45530</v>
      </c>
      <c r="D180">
        <v>286</v>
      </c>
      <c r="E180">
        <f>WEEKNUM(Append321[[#This Row],[Date]])</f>
        <v>35</v>
      </c>
    </row>
    <row r="181" spans="1:5">
      <c r="A181" t="s">
        <v>0</v>
      </c>
      <c r="B181" t="s">
        <v>95</v>
      </c>
      <c r="C181" s="5">
        <v>45531</v>
      </c>
      <c r="D181">
        <v>276</v>
      </c>
      <c r="E181">
        <f>WEEKNUM(Append321[[#This Row],[Date]])</f>
        <v>35</v>
      </c>
    </row>
    <row r="182" spans="1:5">
      <c r="A182" t="s">
        <v>0</v>
      </c>
      <c r="B182" t="s">
        <v>95</v>
      </c>
      <c r="C182" s="5">
        <v>45532</v>
      </c>
      <c r="D182">
        <v>279</v>
      </c>
      <c r="E182">
        <f>WEEKNUM(Append321[[#This Row],[Date]])</f>
        <v>35</v>
      </c>
    </row>
    <row r="183" spans="1:5">
      <c r="A183" t="s">
        <v>0</v>
      </c>
      <c r="B183" t="s">
        <v>95</v>
      </c>
      <c r="C183" s="5">
        <v>45533</v>
      </c>
      <c r="D183">
        <v>278</v>
      </c>
      <c r="E183">
        <f>WEEKNUM(Append321[[#This Row],[Date]])</f>
        <v>35</v>
      </c>
    </row>
    <row r="184" spans="1:5">
      <c r="A184" t="s">
        <v>0</v>
      </c>
      <c r="B184" t="s">
        <v>95</v>
      </c>
      <c r="C184" s="5">
        <v>45534</v>
      </c>
      <c r="D184">
        <v>260</v>
      </c>
      <c r="E184">
        <f>WEEKNUM(Append321[[#This Row],[Date]])</f>
        <v>35</v>
      </c>
    </row>
    <row r="185" spans="1:5">
      <c r="A185" t="s">
        <v>0</v>
      </c>
      <c r="B185" t="s">
        <v>95</v>
      </c>
      <c r="C185" s="5">
        <v>45535</v>
      </c>
      <c r="D185">
        <v>300</v>
      </c>
      <c r="E185">
        <f>WEEKNUM(Append321[[#This Row],[Date]])</f>
        <v>35</v>
      </c>
    </row>
    <row r="186" spans="1:5">
      <c r="A186" t="s">
        <v>0</v>
      </c>
      <c r="B186" t="s">
        <v>96</v>
      </c>
      <c r="C186" s="5">
        <v>45444</v>
      </c>
      <c r="D186">
        <v>397</v>
      </c>
      <c r="E186">
        <f>WEEKNUM(Append321[[#This Row],[Date]])</f>
        <v>22</v>
      </c>
    </row>
    <row r="187" spans="1:5">
      <c r="A187" t="s">
        <v>0</v>
      </c>
      <c r="B187" t="s">
        <v>96</v>
      </c>
      <c r="C187" s="5">
        <v>45445</v>
      </c>
      <c r="D187">
        <v>388</v>
      </c>
      <c r="E187">
        <f>WEEKNUM(Append321[[#This Row],[Date]])</f>
        <v>23</v>
      </c>
    </row>
    <row r="188" spans="1:5">
      <c r="A188" t="s">
        <v>0</v>
      </c>
      <c r="B188" t="s">
        <v>96</v>
      </c>
      <c r="C188" s="5">
        <v>45446</v>
      </c>
      <c r="D188">
        <v>401</v>
      </c>
      <c r="E188">
        <f>WEEKNUM(Append321[[#This Row],[Date]])</f>
        <v>23</v>
      </c>
    </row>
    <row r="189" spans="1:5">
      <c r="A189" t="s">
        <v>0</v>
      </c>
      <c r="B189" t="s">
        <v>96</v>
      </c>
      <c r="C189" s="5">
        <v>45447</v>
      </c>
      <c r="D189">
        <v>452</v>
      </c>
      <c r="E189">
        <f>WEEKNUM(Append321[[#This Row],[Date]])</f>
        <v>23</v>
      </c>
    </row>
    <row r="190" spans="1:5">
      <c r="A190" t="s">
        <v>0</v>
      </c>
      <c r="B190" t="s">
        <v>96</v>
      </c>
      <c r="C190" s="5">
        <v>45448</v>
      </c>
      <c r="D190">
        <v>404</v>
      </c>
      <c r="E190">
        <f>WEEKNUM(Append321[[#This Row],[Date]])</f>
        <v>23</v>
      </c>
    </row>
    <row r="191" spans="1:5">
      <c r="A191" t="s">
        <v>0</v>
      </c>
      <c r="B191" t="s">
        <v>96</v>
      </c>
      <c r="C191" s="5">
        <v>45449</v>
      </c>
      <c r="D191">
        <v>451</v>
      </c>
      <c r="E191">
        <f>WEEKNUM(Append321[[#This Row],[Date]])</f>
        <v>23</v>
      </c>
    </row>
    <row r="192" spans="1:5">
      <c r="A192" t="s">
        <v>0</v>
      </c>
      <c r="B192" t="s">
        <v>96</v>
      </c>
      <c r="C192" s="5">
        <v>45450</v>
      </c>
      <c r="D192">
        <v>427</v>
      </c>
      <c r="E192">
        <f>WEEKNUM(Append321[[#This Row],[Date]])</f>
        <v>23</v>
      </c>
    </row>
    <row r="193" spans="1:5">
      <c r="A193" t="s">
        <v>0</v>
      </c>
      <c r="B193" t="s">
        <v>96</v>
      </c>
      <c r="C193" s="5">
        <v>45451</v>
      </c>
      <c r="D193">
        <v>435</v>
      </c>
      <c r="E193">
        <f>WEEKNUM(Append321[[#This Row],[Date]])</f>
        <v>23</v>
      </c>
    </row>
    <row r="194" spans="1:5">
      <c r="A194" t="s">
        <v>0</v>
      </c>
      <c r="B194" t="s">
        <v>96</v>
      </c>
      <c r="C194" s="5">
        <v>45452</v>
      </c>
      <c r="D194">
        <v>362</v>
      </c>
      <c r="E194">
        <f>WEEKNUM(Append321[[#This Row],[Date]])</f>
        <v>24</v>
      </c>
    </row>
    <row r="195" spans="1:5">
      <c r="A195" t="s">
        <v>0</v>
      </c>
      <c r="B195" t="s">
        <v>96</v>
      </c>
      <c r="C195" s="5">
        <v>45453</v>
      </c>
      <c r="D195">
        <v>394</v>
      </c>
      <c r="E195">
        <f>WEEKNUM(Append321[[#This Row],[Date]])</f>
        <v>24</v>
      </c>
    </row>
    <row r="196" spans="1:5">
      <c r="A196" t="s">
        <v>0</v>
      </c>
      <c r="B196" t="s">
        <v>96</v>
      </c>
      <c r="C196" s="5">
        <v>45454</v>
      </c>
      <c r="D196">
        <v>389</v>
      </c>
      <c r="E196">
        <f>WEEKNUM(Append321[[#This Row],[Date]])</f>
        <v>24</v>
      </c>
    </row>
    <row r="197" spans="1:5">
      <c r="A197" t="s">
        <v>0</v>
      </c>
      <c r="B197" t="s">
        <v>96</v>
      </c>
      <c r="C197" s="5">
        <v>45455</v>
      </c>
      <c r="D197">
        <v>435</v>
      </c>
      <c r="E197">
        <f>WEEKNUM(Append321[[#This Row],[Date]])</f>
        <v>24</v>
      </c>
    </row>
    <row r="198" spans="1:5">
      <c r="A198" t="s">
        <v>0</v>
      </c>
      <c r="B198" t="s">
        <v>96</v>
      </c>
      <c r="C198" s="5">
        <v>45456</v>
      </c>
      <c r="D198">
        <v>384</v>
      </c>
      <c r="E198">
        <f>WEEKNUM(Append321[[#This Row],[Date]])</f>
        <v>24</v>
      </c>
    </row>
    <row r="199" spans="1:5">
      <c r="A199" t="s">
        <v>0</v>
      </c>
      <c r="B199" t="s">
        <v>96</v>
      </c>
      <c r="C199" s="5">
        <v>45457</v>
      </c>
      <c r="D199">
        <v>390</v>
      </c>
      <c r="E199">
        <f>WEEKNUM(Append321[[#This Row],[Date]])</f>
        <v>24</v>
      </c>
    </row>
    <row r="200" spans="1:5">
      <c r="A200" t="s">
        <v>0</v>
      </c>
      <c r="B200" t="s">
        <v>96</v>
      </c>
      <c r="C200" s="5">
        <v>45458</v>
      </c>
      <c r="D200">
        <v>482</v>
      </c>
      <c r="E200">
        <f>WEEKNUM(Append321[[#This Row],[Date]])</f>
        <v>24</v>
      </c>
    </row>
    <row r="201" spans="1:5">
      <c r="A201" t="s">
        <v>0</v>
      </c>
      <c r="B201" t="s">
        <v>96</v>
      </c>
      <c r="C201" s="5">
        <v>45459</v>
      </c>
      <c r="D201">
        <v>431</v>
      </c>
      <c r="E201">
        <f>WEEKNUM(Append321[[#This Row],[Date]])</f>
        <v>25</v>
      </c>
    </row>
    <row r="202" spans="1:5">
      <c r="A202" t="s">
        <v>0</v>
      </c>
      <c r="B202" t="s">
        <v>96</v>
      </c>
      <c r="C202" s="5">
        <v>45460</v>
      </c>
      <c r="D202">
        <v>361</v>
      </c>
      <c r="E202">
        <f>WEEKNUM(Append321[[#This Row],[Date]])</f>
        <v>25</v>
      </c>
    </row>
    <row r="203" spans="1:5">
      <c r="A203" t="s">
        <v>0</v>
      </c>
      <c r="B203" t="s">
        <v>96</v>
      </c>
      <c r="C203" s="5">
        <v>45461</v>
      </c>
      <c r="D203">
        <v>423</v>
      </c>
      <c r="E203">
        <f>WEEKNUM(Append321[[#This Row],[Date]])</f>
        <v>25</v>
      </c>
    </row>
    <row r="204" spans="1:5">
      <c r="A204" t="s">
        <v>0</v>
      </c>
      <c r="B204" t="s">
        <v>96</v>
      </c>
      <c r="C204" s="5">
        <v>45462</v>
      </c>
      <c r="D204">
        <v>385</v>
      </c>
      <c r="E204">
        <f>WEEKNUM(Append321[[#This Row],[Date]])</f>
        <v>25</v>
      </c>
    </row>
    <row r="205" spans="1:5">
      <c r="A205" t="s">
        <v>0</v>
      </c>
      <c r="B205" t="s">
        <v>96</v>
      </c>
      <c r="C205" s="5">
        <v>45463</v>
      </c>
      <c r="D205">
        <v>365</v>
      </c>
      <c r="E205">
        <f>WEEKNUM(Append321[[#This Row],[Date]])</f>
        <v>25</v>
      </c>
    </row>
    <row r="206" spans="1:5">
      <c r="A206" t="s">
        <v>0</v>
      </c>
      <c r="B206" t="s">
        <v>96</v>
      </c>
      <c r="C206" s="5">
        <v>45464</v>
      </c>
      <c r="D206">
        <v>444</v>
      </c>
      <c r="E206">
        <f>WEEKNUM(Append321[[#This Row],[Date]])</f>
        <v>25</v>
      </c>
    </row>
    <row r="207" spans="1:5">
      <c r="A207" t="s">
        <v>0</v>
      </c>
      <c r="B207" t="s">
        <v>96</v>
      </c>
      <c r="C207" s="5">
        <v>45465</v>
      </c>
      <c r="D207">
        <v>423</v>
      </c>
      <c r="E207">
        <f>WEEKNUM(Append321[[#This Row],[Date]])</f>
        <v>25</v>
      </c>
    </row>
    <row r="208" spans="1:5">
      <c r="A208" t="s">
        <v>0</v>
      </c>
      <c r="B208" t="s">
        <v>96</v>
      </c>
      <c r="C208" s="5">
        <v>45466</v>
      </c>
      <c r="D208">
        <v>365</v>
      </c>
      <c r="E208">
        <f>WEEKNUM(Append321[[#This Row],[Date]])</f>
        <v>26</v>
      </c>
    </row>
    <row r="209" spans="1:5">
      <c r="A209" t="s">
        <v>0</v>
      </c>
      <c r="B209" t="s">
        <v>96</v>
      </c>
      <c r="C209" s="5">
        <v>45467</v>
      </c>
      <c r="D209">
        <v>357</v>
      </c>
      <c r="E209">
        <f>WEEKNUM(Append321[[#This Row],[Date]])</f>
        <v>26</v>
      </c>
    </row>
    <row r="210" spans="1:5">
      <c r="A210" t="s">
        <v>0</v>
      </c>
      <c r="B210" t="s">
        <v>96</v>
      </c>
      <c r="C210" s="5">
        <v>45468</v>
      </c>
      <c r="D210">
        <v>416</v>
      </c>
      <c r="E210">
        <f>WEEKNUM(Append321[[#This Row],[Date]])</f>
        <v>26</v>
      </c>
    </row>
    <row r="211" spans="1:5">
      <c r="A211" t="s">
        <v>0</v>
      </c>
      <c r="B211" t="s">
        <v>96</v>
      </c>
      <c r="C211" s="5">
        <v>45469</v>
      </c>
      <c r="D211">
        <v>380</v>
      </c>
      <c r="E211">
        <f>WEEKNUM(Append321[[#This Row],[Date]])</f>
        <v>26</v>
      </c>
    </row>
    <row r="212" spans="1:5">
      <c r="A212" t="s">
        <v>0</v>
      </c>
      <c r="B212" t="s">
        <v>96</v>
      </c>
      <c r="C212" s="5">
        <v>45470</v>
      </c>
      <c r="D212">
        <v>364</v>
      </c>
      <c r="E212">
        <f>WEEKNUM(Append321[[#This Row],[Date]])</f>
        <v>26</v>
      </c>
    </row>
    <row r="213" spans="1:5">
      <c r="A213" t="s">
        <v>0</v>
      </c>
      <c r="B213" t="s">
        <v>96</v>
      </c>
      <c r="C213" s="5">
        <v>45471</v>
      </c>
      <c r="D213">
        <v>371</v>
      </c>
      <c r="E213">
        <f>WEEKNUM(Append321[[#This Row],[Date]])</f>
        <v>26</v>
      </c>
    </row>
    <row r="214" spans="1:5">
      <c r="A214" t="s">
        <v>0</v>
      </c>
      <c r="B214" t="s">
        <v>96</v>
      </c>
      <c r="C214" s="5">
        <v>45472</v>
      </c>
      <c r="D214">
        <v>349</v>
      </c>
      <c r="E214">
        <f>WEEKNUM(Append321[[#This Row],[Date]])</f>
        <v>26</v>
      </c>
    </row>
    <row r="215" spans="1:5">
      <c r="A215" t="s">
        <v>0</v>
      </c>
      <c r="B215" t="s">
        <v>96</v>
      </c>
      <c r="C215" s="5">
        <v>45473</v>
      </c>
      <c r="D215">
        <v>336</v>
      </c>
      <c r="E215">
        <f>WEEKNUM(Append321[[#This Row],[Date]])</f>
        <v>27</v>
      </c>
    </row>
    <row r="216" spans="1:5">
      <c r="A216" t="s">
        <v>0</v>
      </c>
      <c r="B216" t="s">
        <v>96</v>
      </c>
      <c r="C216" s="5">
        <v>45474</v>
      </c>
      <c r="D216">
        <v>362</v>
      </c>
      <c r="E216">
        <f>WEEKNUM(Append321[[#This Row],[Date]])</f>
        <v>27</v>
      </c>
    </row>
    <row r="217" spans="1:5">
      <c r="A217" t="s">
        <v>0</v>
      </c>
      <c r="B217" t="s">
        <v>96</v>
      </c>
      <c r="C217" s="5">
        <v>45475</v>
      </c>
      <c r="D217">
        <v>395</v>
      </c>
      <c r="E217">
        <f>WEEKNUM(Append321[[#This Row],[Date]])</f>
        <v>27</v>
      </c>
    </row>
    <row r="218" spans="1:5">
      <c r="A218" t="s">
        <v>0</v>
      </c>
      <c r="B218" t="s">
        <v>96</v>
      </c>
      <c r="C218" s="5">
        <v>45476</v>
      </c>
      <c r="D218">
        <v>389</v>
      </c>
      <c r="E218">
        <f>WEEKNUM(Append321[[#This Row],[Date]])</f>
        <v>27</v>
      </c>
    </row>
    <row r="219" spans="1:5">
      <c r="A219" t="s">
        <v>0</v>
      </c>
      <c r="B219" t="s">
        <v>96</v>
      </c>
      <c r="C219" s="5">
        <v>45477</v>
      </c>
      <c r="D219">
        <v>392</v>
      </c>
      <c r="E219">
        <f>WEEKNUM(Append321[[#This Row],[Date]])</f>
        <v>27</v>
      </c>
    </row>
    <row r="220" spans="1:5">
      <c r="A220" t="s">
        <v>0</v>
      </c>
      <c r="B220" t="s">
        <v>96</v>
      </c>
      <c r="C220" s="5">
        <v>45478</v>
      </c>
      <c r="D220">
        <v>376</v>
      </c>
      <c r="E220">
        <f>WEEKNUM(Append321[[#This Row],[Date]])</f>
        <v>27</v>
      </c>
    </row>
    <row r="221" spans="1:5">
      <c r="A221" t="s">
        <v>0</v>
      </c>
      <c r="B221" t="s">
        <v>96</v>
      </c>
      <c r="C221" s="5">
        <v>45479</v>
      </c>
      <c r="D221">
        <v>443</v>
      </c>
      <c r="E221">
        <f>WEEKNUM(Append321[[#This Row],[Date]])</f>
        <v>27</v>
      </c>
    </row>
    <row r="222" spans="1:5">
      <c r="A222" t="s">
        <v>0</v>
      </c>
      <c r="B222" t="s">
        <v>96</v>
      </c>
      <c r="C222" s="5">
        <v>45480</v>
      </c>
      <c r="D222">
        <v>423</v>
      </c>
      <c r="E222">
        <f>WEEKNUM(Append321[[#This Row],[Date]])</f>
        <v>28</v>
      </c>
    </row>
    <row r="223" spans="1:5">
      <c r="A223" t="s">
        <v>0</v>
      </c>
      <c r="B223" t="s">
        <v>96</v>
      </c>
      <c r="C223" s="5">
        <v>45481</v>
      </c>
      <c r="D223">
        <v>378</v>
      </c>
      <c r="E223">
        <f>WEEKNUM(Append321[[#This Row],[Date]])</f>
        <v>28</v>
      </c>
    </row>
    <row r="224" spans="1:5">
      <c r="A224" t="s">
        <v>0</v>
      </c>
      <c r="B224" t="s">
        <v>96</v>
      </c>
      <c r="C224" s="5">
        <v>45482</v>
      </c>
      <c r="D224">
        <v>388</v>
      </c>
      <c r="E224">
        <f>WEEKNUM(Append321[[#This Row],[Date]])</f>
        <v>28</v>
      </c>
    </row>
    <row r="225" spans="1:5">
      <c r="A225" t="s">
        <v>0</v>
      </c>
      <c r="B225" t="s">
        <v>96</v>
      </c>
      <c r="C225" s="5">
        <v>45483</v>
      </c>
      <c r="D225">
        <v>471</v>
      </c>
      <c r="E225">
        <f>WEEKNUM(Append321[[#This Row],[Date]])</f>
        <v>28</v>
      </c>
    </row>
    <row r="226" spans="1:5">
      <c r="A226" t="s">
        <v>0</v>
      </c>
      <c r="B226" t="s">
        <v>96</v>
      </c>
      <c r="C226" s="5">
        <v>45484</v>
      </c>
      <c r="D226">
        <v>541</v>
      </c>
      <c r="E226">
        <f>WEEKNUM(Append321[[#This Row],[Date]])</f>
        <v>28</v>
      </c>
    </row>
    <row r="227" spans="1:5">
      <c r="A227" t="s">
        <v>0</v>
      </c>
      <c r="B227" t="s">
        <v>96</v>
      </c>
      <c r="C227" s="5">
        <v>45485</v>
      </c>
      <c r="D227">
        <v>475</v>
      </c>
      <c r="E227">
        <f>WEEKNUM(Append321[[#This Row],[Date]])</f>
        <v>28</v>
      </c>
    </row>
    <row r="228" spans="1:5">
      <c r="A228" t="s">
        <v>0</v>
      </c>
      <c r="B228" t="s">
        <v>96</v>
      </c>
      <c r="C228" s="5">
        <v>45486</v>
      </c>
      <c r="D228">
        <v>536</v>
      </c>
      <c r="E228">
        <f>WEEKNUM(Append321[[#This Row],[Date]])</f>
        <v>28</v>
      </c>
    </row>
    <row r="229" spans="1:5">
      <c r="A229" t="s">
        <v>0</v>
      </c>
      <c r="B229" t="s">
        <v>96</v>
      </c>
      <c r="C229" s="5">
        <v>45487</v>
      </c>
      <c r="D229">
        <v>467</v>
      </c>
      <c r="E229">
        <f>WEEKNUM(Append321[[#This Row],[Date]])</f>
        <v>29</v>
      </c>
    </row>
    <row r="230" spans="1:5">
      <c r="A230" t="s">
        <v>0</v>
      </c>
      <c r="B230" t="s">
        <v>96</v>
      </c>
      <c r="C230" s="5">
        <v>45488</v>
      </c>
      <c r="D230">
        <v>521</v>
      </c>
      <c r="E230">
        <f>WEEKNUM(Append321[[#This Row],[Date]])</f>
        <v>29</v>
      </c>
    </row>
    <row r="231" spans="1:5">
      <c r="A231" t="s">
        <v>0</v>
      </c>
      <c r="B231" t="s">
        <v>96</v>
      </c>
      <c r="C231" s="5">
        <v>45489</v>
      </c>
      <c r="D231">
        <v>493</v>
      </c>
      <c r="E231">
        <f>WEEKNUM(Append321[[#This Row],[Date]])</f>
        <v>29</v>
      </c>
    </row>
    <row r="232" spans="1:5">
      <c r="A232" t="s">
        <v>0</v>
      </c>
      <c r="B232" t="s">
        <v>96</v>
      </c>
      <c r="C232" s="5">
        <v>45490</v>
      </c>
      <c r="D232">
        <v>568</v>
      </c>
      <c r="E232">
        <f>WEEKNUM(Append321[[#This Row],[Date]])</f>
        <v>29</v>
      </c>
    </row>
    <row r="233" spans="1:5">
      <c r="A233" t="s">
        <v>0</v>
      </c>
      <c r="B233" t="s">
        <v>96</v>
      </c>
      <c r="C233" s="5">
        <v>45491</v>
      </c>
      <c r="D233">
        <v>501</v>
      </c>
      <c r="E233">
        <f>WEEKNUM(Append321[[#This Row],[Date]])</f>
        <v>29</v>
      </c>
    </row>
    <row r="234" spans="1:5">
      <c r="A234" t="s">
        <v>0</v>
      </c>
      <c r="B234" t="s">
        <v>96</v>
      </c>
      <c r="C234" s="5">
        <v>45492</v>
      </c>
      <c r="D234">
        <v>572</v>
      </c>
      <c r="E234">
        <f>WEEKNUM(Append321[[#This Row],[Date]])</f>
        <v>29</v>
      </c>
    </row>
    <row r="235" spans="1:5">
      <c r="A235" t="s">
        <v>0</v>
      </c>
      <c r="B235" t="s">
        <v>96</v>
      </c>
      <c r="C235" s="5">
        <v>45493</v>
      </c>
      <c r="D235">
        <v>540</v>
      </c>
      <c r="E235">
        <f>WEEKNUM(Append321[[#This Row],[Date]])</f>
        <v>29</v>
      </c>
    </row>
    <row r="236" spans="1:5">
      <c r="A236" t="s">
        <v>0</v>
      </c>
      <c r="B236" t="s">
        <v>96</v>
      </c>
      <c r="C236" s="5">
        <v>45494</v>
      </c>
      <c r="D236">
        <v>478</v>
      </c>
      <c r="E236">
        <f>WEEKNUM(Append321[[#This Row],[Date]])</f>
        <v>30</v>
      </c>
    </row>
    <row r="237" spans="1:5">
      <c r="A237" t="s">
        <v>0</v>
      </c>
      <c r="B237" t="s">
        <v>96</v>
      </c>
      <c r="C237" s="5">
        <v>45495</v>
      </c>
      <c r="D237">
        <v>589</v>
      </c>
      <c r="E237">
        <f>WEEKNUM(Append321[[#This Row],[Date]])</f>
        <v>30</v>
      </c>
    </row>
    <row r="238" spans="1:5">
      <c r="A238" t="s">
        <v>0</v>
      </c>
      <c r="B238" t="s">
        <v>96</v>
      </c>
      <c r="C238" s="5">
        <v>45496</v>
      </c>
      <c r="D238">
        <v>485</v>
      </c>
      <c r="E238">
        <f>WEEKNUM(Append321[[#This Row],[Date]])</f>
        <v>30</v>
      </c>
    </row>
    <row r="239" spans="1:5">
      <c r="A239" t="s">
        <v>0</v>
      </c>
      <c r="B239" t="s">
        <v>96</v>
      </c>
      <c r="C239" s="5">
        <v>45497</v>
      </c>
      <c r="D239">
        <v>552</v>
      </c>
      <c r="E239">
        <f>WEEKNUM(Append321[[#This Row],[Date]])</f>
        <v>30</v>
      </c>
    </row>
    <row r="240" spans="1:5">
      <c r="A240" t="s">
        <v>0</v>
      </c>
      <c r="B240" t="s">
        <v>96</v>
      </c>
      <c r="C240" s="5">
        <v>45498</v>
      </c>
      <c r="D240">
        <v>469</v>
      </c>
      <c r="E240">
        <f>WEEKNUM(Append321[[#This Row],[Date]])</f>
        <v>30</v>
      </c>
    </row>
    <row r="241" spans="1:5">
      <c r="A241" t="s">
        <v>0</v>
      </c>
      <c r="B241" t="s">
        <v>96</v>
      </c>
      <c r="C241" s="5">
        <v>45499</v>
      </c>
      <c r="D241">
        <v>531</v>
      </c>
      <c r="E241">
        <f>WEEKNUM(Append321[[#This Row],[Date]])</f>
        <v>30</v>
      </c>
    </row>
    <row r="242" spans="1:5">
      <c r="A242" t="s">
        <v>0</v>
      </c>
      <c r="B242" t="s">
        <v>96</v>
      </c>
      <c r="C242" s="5">
        <v>45500</v>
      </c>
      <c r="D242">
        <v>468</v>
      </c>
      <c r="E242">
        <f>WEEKNUM(Append321[[#This Row],[Date]])</f>
        <v>30</v>
      </c>
    </row>
    <row r="243" spans="1:5">
      <c r="A243" t="s">
        <v>0</v>
      </c>
      <c r="B243" t="s">
        <v>96</v>
      </c>
      <c r="C243" s="5">
        <v>45501</v>
      </c>
      <c r="D243">
        <v>531</v>
      </c>
      <c r="E243">
        <f>WEEKNUM(Append321[[#This Row],[Date]])</f>
        <v>31</v>
      </c>
    </row>
    <row r="244" spans="1:5">
      <c r="A244" t="s">
        <v>0</v>
      </c>
      <c r="B244" t="s">
        <v>96</v>
      </c>
      <c r="C244" s="5">
        <v>45502</v>
      </c>
      <c r="D244">
        <v>543</v>
      </c>
      <c r="E244">
        <f>WEEKNUM(Append321[[#This Row],[Date]])</f>
        <v>31</v>
      </c>
    </row>
    <row r="245" spans="1:5">
      <c r="A245" t="s">
        <v>0</v>
      </c>
      <c r="B245" t="s">
        <v>96</v>
      </c>
      <c r="C245" s="5">
        <v>45503</v>
      </c>
      <c r="D245">
        <v>538</v>
      </c>
      <c r="E245">
        <f>WEEKNUM(Append321[[#This Row],[Date]])</f>
        <v>31</v>
      </c>
    </row>
    <row r="246" spans="1:5">
      <c r="A246" t="s">
        <v>0</v>
      </c>
      <c r="B246" t="s">
        <v>96</v>
      </c>
      <c r="C246" s="5">
        <v>45504</v>
      </c>
      <c r="D246">
        <v>578</v>
      </c>
      <c r="E246">
        <f>WEEKNUM(Append321[[#This Row],[Date]])</f>
        <v>31</v>
      </c>
    </row>
    <row r="247" spans="1:5">
      <c r="A247" t="s">
        <v>0</v>
      </c>
      <c r="B247" t="s">
        <v>96</v>
      </c>
      <c r="C247" s="5">
        <v>45505</v>
      </c>
      <c r="D247">
        <v>524</v>
      </c>
      <c r="E247">
        <f>WEEKNUM(Append321[[#This Row],[Date]])</f>
        <v>31</v>
      </c>
    </row>
    <row r="248" spans="1:5">
      <c r="A248" t="s">
        <v>0</v>
      </c>
      <c r="B248" t="s">
        <v>96</v>
      </c>
      <c r="C248" s="5">
        <v>45506</v>
      </c>
      <c r="D248">
        <v>565</v>
      </c>
      <c r="E248">
        <f>WEEKNUM(Append321[[#This Row],[Date]])</f>
        <v>31</v>
      </c>
    </row>
    <row r="249" spans="1:5">
      <c r="A249" t="s">
        <v>0</v>
      </c>
      <c r="B249" t="s">
        <v>96</v>
      </c>
      <c r="C249" s="5">
        <v>45507</v>
      </c>
      <c r="D249">
        <v>753</v>
      </c>
      <c r="E249">
        <f>WEEKNUM(Append321[[#This Row],[Date]])</f>
        <v>31</v>
      </c>
    </row>
    <row r="250" spans="1:5">
      <c r="A250" t="s">
        <v>0</v>
      </c>
      <c r="B250" t="s">
        <v>96</v>
      </c>
      <c r="C250" s="5">
        <v>45508</v>
      </c>
      <c r="D250">
        <v>647</v>
      </c>
      <c r="E250">
        <f>WEEKNUM(Append321[[#This Row],[Date]])</f>
        <v>32</v>
      </c>
    </row>
    <row r="251" spans="1:5">
      <c r="A251" t="s">
        <v>0</v>
      </c>
      <c r="B251" t="s">
        <v>96</v>
      </c>
      <c r="C251" s="5">
        <v>45509</v>
      </c>
      <c r="D251">
        <v>640</v>
      </c>
      <c r="E251">
        <f>WEEKNUM(Append321[[#This Row],[Date]])</f>
        <v>32</v>
      </c>
    </row>
    <row r="252" spans="1:5">
      <c r="A252" t="s">
        <v>0</v>
      </c>
      <c r="B252" t="s">
        <v>96</v>
      </c>
      <c r="C252" s="5">
        <v>45510</v>
      </c>
      <c r="D252">
        <v>642</v>
      </c>
      <c r="E252">
        <f>WEEKNUM(Append321[[#This Row],[Date]])</f>
        <v>32</v>
      </c>
    </row>
    <row r="253" spans="1:5">
      <c r="A253" t="s">
        <v>0</v>
      </c>
      <c r="B253" t="s">
        <v>96</v>
      </c>
      <c r="C253" s="5">
        <v>45511</v>
      </c>
      <c r="D253">
        <v>665</v>
      </c>
      <c r="E253">
        <f>WEEKNUM(Append321[[#This Row],[Date]])</f>
        <v>32</v>
      </c>
    </row>
    <row r="254" spans="1:5">
      <c r="A254" t="s">
        <v>0</v>
      </c>
      <c r="B254" t="s">
        <v>96</v>
      </c>
      <c r="C254" s="5">
        <v>45512</v>
      </c>
      <c r="D254">
        <v>511</v>
      </c>
      <c r="E254">
        <f>WEEKNUM(Append321[[#This Row],[Date]])</f>
        <v>32</v>
      </c>
    </row>
    <row r="255" spans="1:5">
      <c r="A255" t="s">
        <v>0</v>
      </c>
      <c r="B255" t="s">
        <v>96</v>
      </c>
      <c r="C255" s="5">
        <v>45513</v>
      </c>
      <c r="D255">
        <v>498</v>
      </c>
      <c r="E255">
        <f>WEEKNUM(Append321[[#This Row],[Date]])</f>
        <v>32</v>
      </c>
    </row>
    <row r="256" spans="1:5">
      <c r="A256" t="s">
        <v>0</v>
      </c>
      <c r="B256" t="s">
        <v>96</v>
      </c>
      <c r="C256" s="5">
        <v>45514</v>
      </c>
      <c r="D256">
        <v>727</v>
      </c>
      <c r="E256">
        <f>WEEKNUM(Append321[[#This Row],[Date]])</f>
        <v>32</v>
      </c>
    </row>
    <row r="257" spans="1:5">
      <c r="A257" t="s">
        <v>0</v>
      </c>
      <c r="B257" t="s">
        <v>96</v>
      </c>
      <c r="C257" s="5">
        <v>45515</v>
      </c>
      <c r="D257">
        <v>582</v>
      </c>
      <c r="E257">
        <f>WEEKNUM(Append321[[#This Row],[Date]])</f>
        <v>33</v>
      </c>
    </row>
    <row r="258" spans="1:5">
      <c r="A258" t="s">
        <v>0</v>
      </c>
      <c r="B258" t="s">
        <v>96</v>
      </c>
      <c r="C258" s="5">
        <v>45516</v>
      </c>
      <c r="D258">
        <v>586</v>
      </c>
      <c r="E258">
        <f>WEEKNUM(Append321[[#This Row],[Date]])</f>
        <v>33</v>
      </c>
    </row>
    <row r="259" spans="1:5">
      <c r="A259" t="s">
        <v>0</v>
      </c>
      <c r="B259" t="s">
        <v>96</v>
      </c>
      <c r="C259" s="5">
        <v>45517</v>
      </c>
      <c r="D259">
        <v>623</v>
      </c>
      <c r="E259">
        <f>WEEKNUM(Append321[[#This Row],[Date]])</f>
        <v>33</v>
      </c>
    </row>
    <row r="260" spans="1:5">
      <c r="A260" t="s">
        <v>0</v>
      </c>
      <c r="B260" t="s">
        <v>96</v>
      </c>
      <c r="C260" s="5">
        <v>45518</v>
      </c>
      <c r="D260">
        <v>666</v>
      </c>
      <c r="E260">
        <f>WEEKNUM(Append321[[#This Row],[Date]])</f>
        <v>33</v>
      </c>
    </row>
    <row r="261" spans="1:5">
      <c r="A261" t="s">
        <v>0</v>
      </c>
      <c r="B261" t="s">
        <v>96</v>
      </c>
      <c r="C261" s="5">
        <v>45519</v>
      </c>
      <c r="D261">
        <v>655</v>
      </c>
      <c r="E261">
        <f>WEEKNUM(Append321[[#This Row],[Date]])</f>
        <v>33</v>
      </c>
    </row>
    <row r="262" spans="1:5">
      <c r="A262" t="s">
        <v>0</v>
      </c>
      <c r="B262" t="s">
        <v>96</v>
      </c>
      <c r="C262" s="5">
        <v>45520</v>
      </c>
      <c r="D262">
        <v>551</v>
      </c>
      <c r="E262">
        <f>WEEKNUM(Append321[[#This Row],[Date]])</f>
        <v>33</v>
      </c>
    </row>
    <row r="263" spans="1:5">
      <c r="A263" t="s">
        <v>0</v>
      </c>
      <c r="B263" t="s">
        <v>96</v>
      </c>
      <c r="C263" s="5">
        <v>45521</v>
      </c>
      <c r="D263">
        <v>598</v>
      </c>
      <c r="E263">
        <f>WEEKNUM(Append321[[#This Row],[Date]])</f>
        <v>33</v>
      </c>
    </row>
    <row r="264" spans="1:5">
      <c r="A264" t="s">
        <v>0</v>
      </c>
      <c r="B264" t="s">
        <v>96</v>
      </c>
      <c r="C264" s="5">
        <v>45522</v>
      </c>
      <c r="D264">
        <v>595</v>
      </c>
      <c r="E264">
        <f>WEEKNUM(Append321[[#This Row],[Date]])</f>
        <v>34</v>
      </c>
    </row>
    <row r="265" spans="1:5">
      <c r="A265" t="s">
        <v>0</v>
      </c>
      <c r="B265" t="s">
        <v>96</v>
      </c>
      <c r="C265" s="5">
        <v>45523</v>
      </c>
      <c r="D265">
        <v>584</v>
      </c>
      <c r="E265">
        <f>WEEKNUM(Append321[[#This Row],[Date]])</f>
        <v>34</v>
      </c>
    </row>
    <row r="266" spans="1:5">
      <c r="A266" t="s">
        <v>0</v>
      </c>
      <c r="B266" t="s">
        <v>96</v>
      </c>
      <c r="C266" s="5">
        <v>45524</v>
      </c>
      <c r="D266">
        <v>589</v>
      </c>
      <c r="E266">
        <f>WEEKNUM(Append321[[#This Row],[Date]])</f>
        <v>34</v>
      </c>
    </row>
    <row r="267" spans="1:5">
      <c r="A267" t="s">
        <v>0</v>
      </c>
      <c r="B267" t="s">
        <v>96</v>
      </c>
      <c r="C267" s="5">
        <v>45525</v>
      </c>
      <c r="D267">
        <v>585</v>
      </c>
      <c r="E267">
        <f>WEEKNUM(Append321[[#This Row],[Date]])</f>
        <v>34</v>
      </c>
    </row>
    <row r="268" spans="1:5">
      <c r="A268" t="s">
        <v>0</v>
      </c>
      <c r="B268" t="s">
        <v>96</v>
      </c>
      <c r="C268" s="5">
        <v>45526</v>
      </c>
      <c r="D268">
        <v>571</v>
      </c>
      <c r="E268">
        <f>WEEKNUM(Append321[[#This Row],[Date]])</f>
        <v>34</v>
      </c>
    </row>
    <row r="269" spans="1:5">
      <c r="A269" t="s">
        <v>0</v>
      </c>
      <c r="B269" t="s">
        <v>96</v>
      </c>
      <c r="C269" s="5">
        <v>45527</v>
      </c>
      <c r="D269">
        <v>590</v>
      </c>
      <c r="E269">
        <f>WEEKNUM(Append321[[#This Row],[Date]])</f>
        <v>34</v>
      </c>
    </row>
    <row r="270" spans="1:5">
      <c r="A270" t="s">
        <v>0</v>
      </c>
      <c r="B270" t="s">
        <v>96</v>
      </c>
      <c r="C270" s="5">
        <v>45528</v>
      </c>
      <c r="D270">
        <v>625</v>
      </c>
      <c r="E270">
        <f>WEEKNUM(Append321[[#This Row],[Date]])</f>
        <v>34</v>
      </c>
    </row>
    <row r="271" spans="1:5">
      <c r="A271" t="s">
        <v>0</v>
      </c>
      <c r="B271" t="s">
        <v>96</v>
      </c>
      <c r="C271" s="5">
        <v>45529</v>
      </c>
      <c r="D271">
        <v>544</v>
      </c>
      <c r="E271">
        <f>WEEKNUM(Append321[[#This Row],[Date]])</f>
        <v>35</v>
      </c>
    </row>
    <row r="272" spans="1:5">
      <c r="A272" t="s">
        <v>0</v>
      </c>
      <c r="B272" t="s">
        <v>96</v>
      </c>
      <c r="C272" s="5">
        <v>45530</v>
      </c>
      <c r="D272">
        <v>491</v>
      </c>
      <c r="E272">
        <f>WEEKNUM(Append321[[#This Row],[Date]])</f>
        <v>35</v>
      </c>
    </row>
    <row r="273" spans="1:5">
      <c r="A273" t="s">
        <v>0</v>
      </c>
      <c r="B273" t="s">
        <v>96</v>
      </c>
      <c r="C273" s="5">
        <v>45531</v>
      </c>
      <c r="D273">
        <v>532</v>
      </c>
      <c r="E273">
        <f>WEEKNUM(Append321[[#This Row],[Date]])</f>
        <v>35</v>
      </c>
    </row>
    <row r="274" spans="1:5">
      <c r="A274" t="s">
        <v>0</v>
      </c>
      <c r="B274" t="s">
        <v>96</v>
      </c>
      <c r="C274" s="5">
        <v>45532</v>
      </c>
      <c r="D274">
        <v>562</v>
      </c>
      <c r="E274">
        <f>WEEKNUM(Append321[[#This Row],[Date]])</f>
        <v>35</v>
      </c>
    </row>
    <row r="275" spans="1:5">
      <c r="A275" t="s">
        <v>0</v>
      </c>
      <c r="B275" t="s">
        <v>96</v>
      </c>
      <c r="C275" s="5">
        <v>45533</v>
      </c>
      <c r="D275">
        <v>495</v>
      </c>
      <c r="E275">
        <f>WEEKNUM(Append321[[#This Row],[Date]])</f>
        <v>35</v>
      </c>
    </row>
    <row r="276" spans="1:5">
      <c r="A276" t="s">
        <v>0</v>
      </c>
      <c r="B276" t="s">
        <v>96</v>
      </c>
      <c r="C276" s="5">
        <v>45534</v>
      </c>
      <c r="D276">
        <v>512</v>
      </c>
      <c r="E276">
        <f>WEEKNUM(Append321[[#This Row],[Date]])</f>
        <v>35</v>
      </c>
    </row>
    <row r="277" spans="1:5">
      <c r="A277" t="s">
        <v>0</v>
      </c>
      <c r="B277" t="s">
        <v>96</v>
      </c>
      <c r="C277" s="5">
        <v>45535</v>
      </c>
      <c r="D277">
        <v>540</v>
      </c>
      <c r="E277">
        <f>WEEKNUM(Append321[[#This Row],[Date]])</f>
        <v>35</v>
      </c>
    </row>
    <row r="278" spans="1:5">
      <c r="A278" t="s">
        <v>0</v>
      </c>
      <c r="B278" t="s">
        <v>97</v>
      </c>
      <c r="C278" s="5">
        <v>45520</v>
      </c>
      <c r="D278">
        <v>1</v>
      </c>
      <c r="E278">
        <f>WEEKNUM(Append321[[#This Row],[Date]])</f>
        <v>33</v>
      </c>
    </row>
    <row r="279" spans="1:5">
      <c r="A279" t="s">
        <v>0</v>
      </c>
      <c r="B279" t="s">
        <v>97</v>
      </c>
      <c r="C279" s="5">
        <v>45521</v>
      </c>
      <c r="D279">
        <v>6</v>
      </c>
      <c r="E279">
        <f>WEEKNUM(Append321[[#This Row],[Date]])</f>
        <v>33</v>
      </c>
    </row>
    <row r="280" spans="1:5">
      <c r="A280" t="s">
        <v>0</v>
      </c>
      <c r="B280" t="s">
        <v>97</v>
      </c>
      <c r="C280" s="5">
        <v>45522</v>
      </c>
      <c r="D280">
        <v>13</v>
      </c>
      <c r="E280">
        <f>WEEKNUM(Append321[[#This Row],[Date]])</f>
        <v>34</v>
      </c>
    </row>
    <row r="281" spans="1:5">
      <c r="A281" t="s">
        <v>0</v>
      </c>
      <c r="B281" t="s">
        <v>97</v>
      </c>
      <c r="C281" s="5">
        <v>45523</v>
      </c>
      <c r="D281">
        <v>31</v>
      </c>
      <c r="E281">
        <f>WEEKNUM(Append321[[#This Row],[Date]])</f>
        <v>34</v>
      </c>
    </row>
    <row r="282" spans="1:5">
      <c r="A282" t="s">
        <v>0</v>
      </c>
      <c r="B282" t="s">
        <v>97</v>
      </c>
      <c r="C282" s="5">
        <v>45524</v>
      </c>
      <c r="D282">
        <v>35</v>
      </c>
      <c r="E282">
        <f>WEEKNUM(Append321[[#This Row],[Date]])</f>
        <v>34</v>
      </c>
    </row>
    <row r="283" spans="1:5">
      <c r="A283" t="s">
        <v>0</v>
      </c>
      <c r="B283" t="s">
        <v>97</v>
      </c>
      <c r="C283" s="5">
        <v>45525</v>
      </c>
      <c r="D283">
        <v>40</v>
      </c>
      <c r="E283">
        <f>WEEKNUM(Append321[[#This Row],[Date]])</f>
        <v>34</v>
      </c>
    </row>
    <row r="284" spans="1:5">
      <c r="A284" t="s">
        <v>0</v>
      </c>
      <c r="B284" t="s">
        <v>97</v>
      </c>
      <c r="C284" s="5">
        <v>45526</v>
      </c>
      <c r="D284">
        <v>53</v>
      </c>
      <c r="E284">
        <f>WEEKNUM(Append321[[#This Row],[Date]])</f>
        <v>34</v>
      </c>
    </row>
    <row r="285" spans="1:5">
      <c r="A285" t="s">
        <v>0</v>
      </c>
      <c r="B285" t="s">
        <v>97</v>
      </c>
      <c r="C285" s="5">
        <v>45527</v>
      </c>
      <c r="D285">
        <v>61</v>
      </c>
      <c r="E285">
        <f>WEEKNUM(Append321[[#This Row],[Date]])</f>
        <v>34</v>
      </c>
    </row>
    <row r="286" spans="1:5">
      <c r="A286" t="s">
        <v>0</v>
      </c>
      <c r="B286" t="s">
        <v>97</v>
      </c>
      <c r="C286" s="5">
        <v>45528</v>
      </c>
      <c r="D286">
        <v>82</v>
      </c>
      <c r="E286">
        <f>WEEKNUM(Append321[[#This Row],[Date]])</f>
        <v>34</v>
      </c>
    </row>
    <row r="287" spans="1:5">
      <c r="A287" t="s">
        <v>0</v>
      </c>
      <c r="B287" t="s">
        <v>97</v>
      </c>
      <c r="C287" s="5">
        <v>45529</v>
      </c>
      <c r="D287">
        <v>80</v>
      </c>
      <c r="E287">
        <f>WEEKNUM(Append321[[#This Row],[Date]])</f>
        <v>35</v>
      </c>
    </row>
    <row r="288" spans="1:5">
      <c r="A288" t="s">
        <v>0</v>
      </c>
      <c r="B288" t="s">
        <v>97</v>
      </c>
      <c r="C288" s="5">
        <v>45530</v>
      </c>
      <c r="D288">
        <v>72</v>
      </c>
      <c r="E288">
        <f>WEEKNUM(Append321[[#This Row],[Date]])</f>
        <v>35</v>
      </c>
    </row>
    <row r="289" spans="1:5">
      <c r="A289" t="s">
        <v>0</v>
      </c>
      <c r="B289" t="s">
        <v>97</v>
      </c>
      <c r="C289" s="5">
        <v>45531</v>
      </c>
      <c r="D289">
        <v>121</v>
      </c>
      <c r="E289">
        <f>WEEKNUM(Append321[[#This Row],[Date]])</f>
        <v>35</v>
      </c>
    </row>
    <row r="290" spans="1:5">
      <c r="A290" t="s">
        <v>0</v>
      </c>
      <c r="B290" t="s">
        <v>97</v>
      </c>
      <c r="C290" s="5">
        <v>45532</v>
      </c>
      <c r="D290">
        <v>108</v>
      </c>
      <c r="E290">
        <f>WEEKNUM(Append321[[#This Row],[Date]])</f>
        <v>35</v>
      </c>
    </row>
    <row r="291" spans="1:5">
      <c r="A291" t="s">
        <v>0</v>
      </c>
      <c r="B291" t="s">
        <v>97</v>
      </c>
      <c r="C291" s="5">
        <v>45533</v>
      </c>
      <c r="D291">
        <v>152</v>
      </c>
      <c r="E291">
        <f>WEEKNUM(Append321[[#This Row],[Date]])</f>
        <v>35</v>
      </c>
    </row>
    <row r="292" spans="1:5">
      <c r="A292" t="s">
        <v>0</v>
      </c>
      <c r="B292" t="s">
        <v>97</v>
      </c>
      <c r="C292" s="5">
        <v>45534</v>
      </c>
      <c r="D292">
        <v>154</v>
      </c>
      <c r="E292">
        <f>WEEKNUM(Append321[[#This Row],[Date]])</f>
        <v>35</v>
      </c>
    </row>
    <row r="293" spans="1:5">
      <c r="A293" t="s">
        <v>0</v>
      </c>
      <c r="B293" t="s">
        <v>97</v>
      </c>
      <c r="C293" s="5">
        <v>45535</v>
      </c>
      <c r="D293">
        <v>208</v>
      </c>
      <c r="E293">
        <f>WEEKNUM(Append321[[#This Row],[Date]])</f>
        <v>35</v>
      </c>
    </row>
    <row r="294" spans="1:5">
      <c r="A294" t="s">
        <v>0</v>
      </c>
      <c r="B294" t="s">
        <v>98</v>
      </c>
      <c r="C294" s="5">
        <v>45520</v>
      </c>
      <c r="D294">
        <v>1</v>
      </c>
      <c r="E294">
        <f>WEEKNUM(Append321[[#This Row],[Date]])</f>
        <v>33</v>
      </c>
    </row>
    <row r="295" spans="1:5">
      <c r="A295" t="s">
        <v>0</v>
      </c>
      <c r="B295" t="s">
        <v>98</v>
      </c>
      <c r="C295" s="5">
        <v>45521</v>
      </c>
      <c r="D295">
        <v>2</v>
      </c>
      <c r="E295">
        <f>WEEKNUM(Append321[[#This Row],[Date]])</f>
        <v>33</v>
      </c>
    </row>
    <row r="296" spans="1:5">
      <c r="A296" t="s">
        <v>0</v>
      </c>
      <c r="B296" t="s">
        <v>98</v>
      </c>
      <c r="C296" s="5">
        <v>45522</v>
      </c>
      <c r="D296">
        <v>15</v>
      </c>
      <c r="E296">
        <f>WEEKNUM(Append321[[#This Row],[Date]])</f>
        <v>34</v>
      </c>
    </row>
    <row r="297" spans="1:5">
      <c r="A297" t="s">
        <v>0</v>
      </c>
      <c r="B297" t="s">
        <v>98</v>
      </c>
      <c r="C297" s="5">
        <v>45523</v>
      </c>
      <c r="D297">
        <v>40</v>
      </c>
      <c r="E297">
        <f>WEEKNUM(Append321[[#This Row],[Date]])</f>
        <v>34</v>
      </c>
    </row>
    <row r="298" spans="1:5">
      <c r="A298" t="s">
        <v>0</v>
      </c>
      <c r="B298" t="s">
        <v>98</v>
      </c>
      <c r="C298" s="5">
        <v>45524</v>
      </c>
      <c r="D298">
        <v>52</v>
      </c>
      <c r="E298">
        <f>WEEKNUM(Append321[[#This Row],[Date]])</f>
        <v>34</v>
      </c>
    </row>
    <row r="299" spans="1:5">
      <c r="A299" t="s">
        <v>0</v>
      </c>
      <c r="B299" t="s">
        <v>98</v>
      </c>
      <c r="C299" s="5">
        <v>45525</v>
      </c>
      <c r="D299">
        <v>59</v>
      </c>
      <c r="E299">
        <f>WEEKNUM(Append321[[#This Row],[Date]])</f>
        <v>34</v>
      </c>
    </row>
    <row r="300" spans="1:5">
      <c r="A300" t="s">
        <v>0</v>
      </c>
      <c r="B300" t="s">
        <v>98</v>
      </c>
      <c r="C300" s="5">
        <v>45526</v>
      </c>
      <c r="D300">
        <v>33</v>
      </c>
      <c r="E300">
        <f>WEEKNUM(Append321[[#This Row],[Date]])</f>
        <v>34</v>
      </c>
    </row>
    <row r="301" spans="1:5">
      <c r="A301" t="s">
        <v>0</v>
      </c>
      <c r="B301" t="s">
        <v>98</v>
      </c>
      <c r="C301" s="5">
        <v>45527</v>
      </c>
      <c r="D301">
        <v>41</v>
      </c>
      <c r="E301">
        <f>WEEKNUM(Append321[[#This Row],[Date]])</f>
        <v>34</v>
      </c>
    </row>
    <row r="302" spans="1:5">
      <c r="A302" t="s">
        <v>0</v>
      </c>
      <c r="B302" t="s">
        <v>98</v>
      </c>
      <c r="C302" s="5">
        <v>45528</v>
      </c>
      <c r="D302">
        <v>59</v>
      </c>
      <c r="E302">
        <f>WEEKNUM(Append321[[#This Row],[Date]])</f>
        <v>34</v>
      </c>
    </row>
    <row r="303" spans="1:5">
      <c r="A303" t="s">
        <v>0</v>
      </c>
      <c r="B303" t="s">
        <v>98</v>
      </c>
      <c r="C303" s="5">
        <v>45529</v>
      </c>
      <c r="D303">
        <v>56</v>
      </c>
      <c r="E303">
        <f>WEEKNUM(Append321[[#This Row],[Date]])</f>
        <v>35</v>
      </c>
    </row>
    <row r="304" spans="1:5">
      <c r="A304" t="s">
        <v>0</v>
      </c>
      <c r="B304" t="s">
        <v>98</v>
      </c>
      <c r="C304" s="5">
        <v>45530</v>
      </c>
      <c r="D304">
        <v>59</v>
      </c>
      <c r="E304">
        <f>WEEKNUM(Append321[[#This Row],[Date]])</f>
        <v>35</v>
      </c>
    </row>
    <row r="305" spans="1:5">
      <c r="A305" t="s">
        <v>0</v>
      </c>
      <c r="B305" t="s">
        <v>98</v>
      </c>
      <c r="C305" s="5">
        <v>45531</v>
      </c>
      <c r="D305">
        <v>59</v>
      </c>
      <c r="E305">
        <f>WEEKNUM(Append321[[#This Row],[Date]])</f>
        <v>35</v>
      </c>
    </row>
    <row r="306" spans="1:5">
      <c r="A306" t="s">
        <v>0</v>
      </c>
      <c r="B306" t="s">
        <v>98</v>
      </c>
      <c r="C306" s="5">
        <v>45532</v>
      </c>
      <c r="D306">
        <v>74</v>
      </c>
      <c r="E306">
        <f>WEEKNUM(Append321[[#This Row],[Date]])</f>
        <v>35</v>
      </c>
    </row>
    <row r="307" spans="1:5">
      <c r="A307" t="s">
        <v>0</v>
      </c>
      <c r="B307" t="s">
        <v>98</v>
      </c>
      <c r="C307" s="5">
        <v>45533</v>
      </c>
      <c r="D307">
        <v>112</v>
      </c>
      <c r="E307">
        <f>WEEKNUM(Append321[[#This Row],[Date]])</f>
        <v>35</v>
      </c>
    </row>
    <row r="308" spans="1:5">
      <c r="A308" t="s">
        <v>0</v>
      </c>
      <c r="B308" t="s">
        <v>98</v>
      </c>
      <c r="C308" s="5">
        <v>45534</v>
      </c>
      <c r="D308">
        <v>119</v>
      </c>
      <c r="E308">
        <f>WEEKNUM(Append321[[#This Row],[Date]])</f>
        <v>35</v>
      </c>
    </row>
    <row r="309" spans="1:5">
      <c r="A309" t="s">
        <v>0</v>
      </c>
      <c r="B309" t="s">
        <v>98</v>
      </c>
      <c r="C309" s="5">
        <v>45535</v>
      </c>
      <c r="D309">
        <v>147</v>
      </c>
      <c r="E309">
        <f>WEEKNUM(Append321[[#This Row],[Date]])</f>
        <v>35</v>
      </c>
    </row>
    <row r="310" spans="1:5">
      <c r="A310" t="s">
        <v>0</v>
      </c>
      <c r="B310" t="s">
        <v>99</v>
      </c>
      <c r="C310" s="5">
        <v>45444</v>
      </c>
      <c r="D310">
        <v>341</v>
      </c>
      <c r="E310">
        <f>WEEKNUM(Append321[[#This Row],[Date]])</f>
        <v>22</v>
      </c>
    </row>
    <row r="311" spans="1:5">
      <c r="A311" t="s">
        <v>0</v>
      </c>
      <c r="B311" t="s">
        <v>99</v>
      </c>
      <c r="C311" s="5">
        <v>45445</v>
      </c>
      <c r="D311">
        <v>295</v>
      </c>
      <c r="E311">
        <f>WEEKNUM(Append321[[#This Row],[Date]])</f>
        <v>23</v>
      </c>
    </row>
    <row r="312" spans="1:5">
      <c r="A312" t="s">
        <v>0</v>
      </c>
      <c r="B312" t="s">
        <v>99</v>
      </c>
      <c r="C312" s="5">
        <v>45446</v>
      </c>
      <c r="D312">
        <v>277</v>
      </c>
      <c r="E312">
        <f>WEEKNUM(Append321[[#This Row],[Date]])</f>
        <v>23</v>
      </c>
    </row>
    <row r="313" spans="1:5">
      <c r="A313" t="s">
        <v>0</v>
      </c>
      <c r="B313" t="s">
        <v>99</v>
      </c>
      <c r="C313" s="5">
        <v>45447</v>
      </c>
      <c r="D313">
        <v>295</v>
      </c>
      <c r="E313">
        <f>WEEKNUM(Append321[[#This Row],[Date]])</f>
        <v>23</v>
      </c>
    </row>
    <row r="314" spans="1:5">
      <c r="A314" t="s">
        <v>0</v>
      </c>
      <c r="B314" t="s">
        <v>99</v>
      </c>
      <c r="C314" s="5">
        <v>45448</v>
      </c>
      <c r="D314">
        <v>266</v>
      </c>
      <c r="E314">
        <f>WEEKNUM(Append321[[#This Row],[Date]])</f>
        <v>23</v>
      </c>
    </row>
    <row r="315" spans="1:5">
      <c r="A315" t="s">
        <v>0</v>
      </c>
      <c r="B315" t="s">
        <v>99</v>
      </c>
      <c r="C315" s="5">
        <v>45449</v>
      </c>
      <c r="D315">
        <v>360</v>
      </c>
      <c r="E315">
        <f>WEEKNUM(Append321[[#This Row],[Date]])</f>
        <v>23</v>
      </c>
    </row>
    <row r="316" spans="1:5">
      <c r="A316" t="s">
        <v>0</v>
      </c>
      <c r="B316" t="s">
        <v>99</v>
      </c>
      <c r="C316" s="5">
        <v>45450</v>
      </c>
      <c r="D316">
        <v>390</v>
      </c>
      <c r="E316">
        <f>WEEKNUM(Append321[[#This Row],[Date]])</f>
        <v>23</v>
      </c>
    </row>
    <row r="317" spans="1:5">
      <c r="A317" t="s">
        <v>0</v>
      </c>
      <c r="B317" t="s">
        <v>99</v>
      </c>
      <c r="C317" s="5">
        <v>45451</v>
      </c>
      <c r="D317">
        <v>463</v>
      </c>
      <c r="E317">
        <f>WEEKNUM(Append321[[#This Row],[Date]])</f>
        <v>23</v>
      </c>
    </row>
    <row r="318" spans="1:5">
      <c r="A318" t="s">
        <v>0</v>
      </c>
      <c r="B318" t="s">
        <v>99</v>
      </c>
      <c r="C318" s="5">
        <v>45452</v>
      </c>
      <c r="D318">
        <v>343</v>
      </c>
      <c r="E318">
        <f>WEEKNUM(Append321[[#This Row],[Date]])</f>
        <v>24</v>
      </c>
    </row>
    <row r="319" spans="1:5">
      <c r="A319" t="s">
        <v>0</v>
      </c>
      <c r="B319" t="s">
        <v>99</v>
      </c>
      <c r="C319" s="5">
        <v>45453</v>
      </c>
      <c r="D319">
        <v>391</v>
      </c>
      <c r="E319">
        <f>WEEKNUM(Append321[[#This Row],[Date]])</f>
        <v>24</v>
      </c>
    </row>
    <row r="320" spans="1:5">
      <c r="A320" t="s">
        <v>0</v>
      </c>
      <c r="B320" t="s">
        <v>99</v>
      </c>
      <c r="C320" s="5">
        <v>45454</v>
      </c>
      <c r="D320">
        <v>437</v>
      </c>
      <c r="E320">
        <f>WEEKNUM(Append321[[#This Row],[Date]])</f>
        <v>24</v>
      </c>
    </row>
    <row r="321" spans="1:5">
      <c r="A321" t="s">
        <v>0</v>
      </c>
      <c r="B321" t="s">
        <v>99</v>
      </c>
      <c r="C321" s="5">
        <v>45455</v>
      </c>
      <c r="D321">
        <v>514</v>
      </c>
      <c r="E321">
        <f>WEEKNUM(Append321[[#This Row],[Date]])</f>
        <v>24</v>
      </c>
    </row>
    <row r="322" spans="1:5">
      <c r="A322" t="s">
        <v>0</v>
      </c>
      <c r="B322" t="s">
        <v>99</v>
      </c>
      <c r="C322" s="5">
        <v>45456</v>
      </c>
      <c r="D322">
        <v>434</v>
      </c>
      <c r="E322">
        <f>WEEKNUM(Append321[[#This Row],[Date]])</f>
        <v>24</v>
      </c>
    </row>
    <row r="323" spans="1:5">
      <c r="A323" t="s">
        <v>0</v>
      </c>
      <c r="B323" t="s">
        <v>99</v>
      </c>
      <c r="C323" s="5">
        <v>45457</v>
      </c>
      <c r="D323">
        <v>496</v>
      </c>
      <c r="E323">
        <f>WEEKNUM(Append321[[#This Row],[Date]])</f>
        <v>24</v>
      </c>
    </row>
    <row r="324" spans="1:5">
      <c r="A324" t="s">
        <v>0</v>
      </c>
      <c r="B324" t="s">
        <v>99</v>
      </c>
      <c r="C324" s="5">
        <v>45458</v>
      </c>
      <c r="D324">
        <v>430</v>
      </c>
      <c r="E324">
        <f>WEEKNUM(Append321[[#This Row],[Date]])</f>
        <v>24</v>
      </c>
    </row>
    <row r="325" spans="1:5">
      <c r="A325" t="s">
        <v>0</v>
      </c>
      <c r="B325" t="s">
        <v>99</v>
      </c>
      <c r="C325" s="5">
        <v>45459</v>
      </c>
      <c r="D325">
        <v>339</v>
      </c>
      <c r="E325">
        <f>WEEKNUM(Append321[[#This Row],[Date]])</f>
        <v>25</v>
      </c>
    </row>
    <row r="326" spans="1:5">
      <c r="A326" t="s">
        <v>0</v>
      </c>
      <c r="B326" t="s">
        <v>99</v>
      </c>
      <c r="C326" s="5">
        <v>45460</v>
      </c>
      <c r="D326">
        <v>283</v>
      </c>
      <c r="E326">
        <f>WEEKNUM(Append321[[#This Row],[Date]])</f>
        <v>25</v>
      </c>
    </row>
    <row r="327" spans="1:5">
      <c r="A327" t="s">
        <v>0</v>
      </c>
      <c r="B327" t="s">
        <v>99</v>
      </c>
      <c r="C327" s="5">
        <v>45461</v>
      </c>
      <c r="D327">
        <v>318</v>
      </c>
      <c r="E327">
        <f>WEEKNUM(Append321[[#This Row],[Date]])</f>
        <v>25</v>
      </c>
    </row>
    <row r="328" spans="1:5">
      <c r="A328" t="s">
        <v>0</v>
      </c>
      <c r="B328" t="s">
        <v>99</v>
      </c>
      <c r="C328" s="5">
        <v>45462</v>
      </c>
      <c r="D328">
        <v>290</v>
      </c>
      <c r="E328">
        <f>WEEKNUM(Append321[[#This Row],[Date]])</f>
        <v>25</v>
      </c>
    </row>
    <row r="329" spans="1:5">
      <c r="A329" t="s">
        <v>0</v>
      </c>
      <c r="B329" t="s">
        <v>99</v>
      </c>
      <c r="C329" s="5">
        <v>45463</v>
      </c>
      <c r="D329">
        <v>277</v>
      </c>
      <c r="E329">
        <f>WEEKNUM(Append321[[#This Row],[Date]])</f>
        <v>25</v>
      </c>
    </row>
    <row r="330" spans="1:5">
      <c r="A330" t="s">
        <v>0</v>
      </c>
      <c r="B330" t="s">
        <v>99</v>
      </c>
      <c r="C330" s="5">
        <v>45464</v>
      </c>
      <c r="D330">
        <v>317</v>
      </c>
      <c r="E330">
        <f>WEEKNUM(Append321[[#This Row],[Date]])</f>
        <v>25</v>
      </c>
    </row>
    <row r="331" spans="1:5">
      <c r="A331" t="s">
        <v>0</v>
      </c>
      <c r="B331" t="s">
        <v>99</v>
      </c>
      <c r="C331" s="5">
        <v>45465</v>
      </c>
      <c r="D331">
        <v>322</v>
      </c>
      <c r="E331">
        <f>WEEKNUM(Append321[[#This Row],[Date]])</f>
        <v>25</v>
      </c>
    </row>
    <row r="332" spans="1:5">
      <c r="A332" t="s">
        <v>0</v>
      </c>
      <c r="B332" t="s">
        <v>99</v>
      </c>
      <c r="C332" s="5">
        <v>45466</v>
      </c>
      <c r="D332">
        <v>274</v>
      </c>
      <c r="E332">
        <f>WEEKNUM(Append321[[#This Row],[Date]])</f>
        <v>26</v>
      </c>
    </row>
    <row r="333" spans="1:5">
      <c r="A333" t="s">
        <v>0</v>
      </c>
      <c r="B333" t="s">
        <v>99</v>
      </c>
      <c r="C333" s="5">
        <v>45467</v>
      </c>
      <c r="D333">
        <v>253</v>
      </c>
      <c r="E333">
        <f>WEEKNUM(Append321[[#This Row],[Date]])</f>
        <v>26</v>
      </c>
    </row>
    <row r="334" spans="1:5">
      <c r="A334" t="s">
        <v>0</v>
      </c>
      <c r="B334" t="s">
        <v>99</v>
      </c>
      <c r="C334" s="5">
        <v>45468</v>
      </c>
      <c r="D334">
        <v>254</v>
      </c>
      <c r="E334">
        <f>WEEKNUM(Append321[[#This Row],[Date]])</f>
        <v>26</v>
      </c>
    </row>
    <row r="335" spans="1:5">
      <c r="A335" t="s">
        <v>0</v>
      </c>
      <c r="B335" t="s">
        <v>99</v>
      </c>
      <c r="C335" s="5">
        <v>45469</v>
      </c>
      <c r="D335">
        <v>279</v>
      </c>
      <c r="E335">
        <f>WEEKNUM(Append321[[#This Row],[Date]])</f>
        <v>26</v>
      </c>
    </row>
    <row r="336" spans="1:5">
      <c r="A336" t="s">
        <v>0</v>
      </c>
      <c r="B336" t="s">
        <v>99</v>
      </c>
      <c r="C336" s="5">
        <v>45470</v>
      </c>
      <c r="D336">
        <v>268</v>
      </c>
      <c r="E336">
        <f>WEEKNUM(Append321[[#This Row],[Date]])</f>
        <v>26</v>
      </c>
    </row>
    <row r="337" spans="1:5">
      <c r="A337" t="s">
        <v>0</v>
      </c>
      <c r="B337" t="s">
        <v>99</v>
      </c>
      <c r="C337" s="5">
        <v>45471</v>
      </c>
      <c r="D337">
        <v>325</v>
      </c>
      <c r="E337">
        <f>WEEKNUM(Append321[[#This Row],[Date]])</f>
        <v>26</v>
      </c>
    </row>
    <row r="338" spans="1:5">
      <c r="A338" t="s">
        <v>0</v>
      </c>
      <c r="B338" t="s">
        <v>99</v>
      </c>
      <c r="C338" s="5">
        <v>45472</v>
      </c>
      <c r="D338">
        <v>280</v>
      </c>
      <c r="E338">
        <f>WEEKNUM(Append321[[#This Row],[Date]])</f>
        <v>26</v>
      </c>
    </row>
    <row r="339" spans="1:5">
      <c r="A339" t="s">
        <v>0</v>
      </c>
      <c r="B339" t="s">
        <v>99</v>
      </c>
      <c r="C339" s="5">
        <v>45473</v>
      </c>
      <c r="D339">
        <v>213</v>
      </c>
      <c r="E339">
        <f>WEEKNUM(Append321[[#This Row],[Date]])</f>
        <v>27</v>
      </c>
    </row>
    <row r="340" spans="1:5">
      <c r="A340" t="s">
        <v>0</v>
      </c>
      <c r="B340" t="s">
        <v>99</v>
      </c>
      <c r="C340" s="5">
        <v>45474</v>
      </c>
      <c r="D340">
        <v>259</v>
      </c>
      <c r="E340">
        <f>WEEKNUM(Append321[[#This Row],[Date]])</f>
        <v>27</v>
      </c>
    </row>
    <row r="341" spans="1:5">
      <c r="A341" t="s">
        <v>0</v>
      </c>
      <c r="B341" t="s">
        <v>99</v>
      </c>
      <c r="C341" s="5">
        <v>45475</v>
      </c>
      <c r="D341">
        <v>277</v>
      </c>
      <c r="E341">
        <f>WEEKNUM(Append321[[#This Row],[Date]])</f>
        <v>27</v>
      </c>
    </row>
    <row r="342" spans="1:5">
      <c r="A342" t="s">
        <v>0</v>
      </c>
      <c r="B342" t="s">
        <v>99</v>
      </c>
      <c r="C342" s="5">
        <v>45476</v>
      </c>
      <c r="D342">
        <v>318</v>
      </c>
      <c r="E342">
        <f>WEEKNUM(Append321[[#This Row],[Date]])</f>
        <v>27</v>
      </c>
    </row>
    <row r="343" spans="1:5">
      <c r="A343" t="s">
        <v>0</v>
      </c>
      <c r="B343" t="s">
        <v>99</v>
      </c>
      <c r="C343" s="5">
        <v>45477</v>
      </c>
      <c r="D343">
        <v>279</v>
      </c>
      <c r="E343">
        <f>WEEKNUM(Append321[[#This Row],[Date]])</f>
        <v>27</v>
      </c>
    </row>
    <row r="344" spans="1:5">
      <c r="A344" t="s">
        <v>0</v>
      </c>
      <c r="B344" t="s">
        <v>99</v>
      </c>
      <c r="C344" s="5">
        <v>45478</v>
      </c>
      <c r="D344">
        <v>300</v>
      </c>
      <c r="E344">
        <f>WEEKNUM(Append321[[#This Row],[Date]])</f>
        <v>27</v>
      </c>
    </row>
    <row r="345" spans="1:5">
      <c r="A345" t="s">
        <v>0</v>
      </c>
      <c r="B345" t="s">
        <v>99</v>
      </c>
      <c r="C345" s="5">
        <v>45479</v>
      </c>
      <c r="D345">
        <v>309</v>
      </c>
      <c r="E345">
        <f>WEEKNUM(Append321[[#This Row],[Date]])</f>
        <v>27</v>
      </c>
    </row>
    <row r="346" spans="1:5">
      <c r="A346" t="s">
        <v>0</v>
      </c>
      <c r="B346" t="s">
        <v>99</v>
      </c>
      <c r="C346" s="5">
        <v>45480</v>
      </c>
      <c r="D346">
        <v>221</v>
      </c>
      <c r="E346">
        <f>WEEKNUM(Append321[[#This Row],[Date]])</f>
        <v>28</v>
      </c>
    </row>
    <row r="347" spans="1:5">
      <c r="A347" t="s">
        <v>0</v>
      </c>
      <c r="B347" t="s">
        <v>99</v>
      </c>
      <c r="C347" s="5">
        <v>45481</v>
      </c>
      <c r="D347">
        <v>259</v>
      </c>
      <c r="E347">
        <f>WEEKNUM(Append321[[#This Row],[Date]])</f>
        <v>28</v>
      </c>
    </row>
    <row r="348" spans="1:5">
      <c r="A348" t="s">
        <v>0</v>
      </c>
      <c r="B348" t="s">
        <v>99</v>
      </c>
      <c r="C348" s="5">
        <v>45482</v>
      </c>
      <c r="D348">
        <v>218</v>
      </c>
      <c r="E348">
        <f>WEEKNUM(Append321[[#This Row],[Date]])</f>
        <v>28</v>
      </c>
    </row>
    <row r="349" spans="1:5">
      <c r="A349" t="s">
        <v>0</v>
      </c>
      <c r="B349" t="s">
        <v>99</v>
      </c>
      <c r="C349" s="5">
        <v>45483</v>
      </c>
      <c r="D349">
        <v>245</v>
      </c>
      <c r="E349">
        <f>WEEKNUM(Append321[[#This Row],[Date]])</f>
        <v>28</v>
      </c>
    </row>
    <row r="350" spans="1:5">
      <c r="A350" t="s">
        <v>0</v>
      </c>
      <c r="B350" t="s">
        <v>99</v>
      </c>
      <c r="C350" s="5">
        <v>45484</v>
      </c>
      <c r="D350">
        <v>238</v>
      </c>
      <c r="E350">
        <f>WEEKNUM(Append321[[#This Row],[Date]])</f>
        <v>28</v>
      </c>
    </row>
    <row r="351" spans="1:5">
      <c r="A351" t="s">
        <v>0</v>
      </c>
      <c r="B351" t="s">
        <v>99</v>
      </c>
      <c r="C351" s="5">
        <v>45485</v>
      </c>
      <c r="D351">
        <v>269</v>
      </c>
      <c r="E351">
        <f>WEEKNUM(Append321[[#This Row],[Date]])</f>
        <v>28</v>
      </c>
    </row>
    <row r="352" spans="1:5">
      <c r="A352" t="s">
        <v>0</v>
      </c>
      <c r="B352" t="s">
        <v>99</v>
      </c>
      <c r="C352" s="5">
        <v>45486</v>
      </c>
      <c r="D352">
        <v>271</v>
      </c>
      <c r="E352">
        <f>WEEKNUM(Append321[[#This Row],[Date]])</f>
        <v>28</v>
      </c>
    </row>
    <row r="353" spans="1:5">
      <c r="A353" t="s">
        <v>0</v>
      </c>
      <c r="B353" t="s">
        <v>99</v>
      </c>
      <c r="C353" s="5">
        <v>45487</v>
      </c>
      <c r="D353">
        <v>170</v>
      </c>
      <c r="E353">
        <f>WEEKNUM(Append321[[#This Row],[Date]])</f>
        <v>29</v>
      </c>
    </row>
    <row r="354" spans="1:5">
      <c r="A354" t="s">
        <v>0</v>
      </c>
      <c r="B354" t="s">
        <v>99</v>
      </c>
      <c r="C354" s="5">
        <v>45488</v>
      </c>
      <c r="D354">
        <v>205</v>
      </c>
      <c r="E354">
        <f>WEEKNUM(Append321[[#This Row],[Date]])</f>
        <v>29</v>
      </c>
    </row>
    <row r="355" spans="1:5">
      <c r="A355" t="s">
        <v>0</v>
      </c>
      <c r="B355" t="s">
        <v>99</v>
      </c>
      <c r="C355" s="5">
        <v>45489</v>
      </c>
      <c r="D355">
        <v>200</v>
      </c>
      <c r="E355">
        <f>WEEKNUM(Append321[[#This Row],[Date]])</f>
        <v>29</v>
      </c>
    </row>
    <row r="356" spans="1:5">
      <c r="A356" t="s">
        <v>0</v>
      </c>
      <c r="B356" t="s">
        <v>99</v>
      </c>
      <c r="C356" s="5">
        <v>45490</v>
      </c>
      <c r="D356">
        <v>239</v>
      </c>
      <c r="E356">
        <f>WEEKNUM(Append321[[#This Row],[Date]])</f>
        <v>29</v>
      </c>
    </row>
    <row r="357" spans="1:5">
      <c r="A357" t="s">
        <v>0</v>
      </c>
      <c r="B357" t="s">
        <v>99</v>
      </c>
      <c r="C357" s="5">
        <v>45491</v>
      </c>
      <c r="D357">
        <v>205</v>
      </c>
      <c r="E357">
        <f>WEEKNUM(Append321[[#This Row],[Date]])</f>
        <v>29</v>
      </c>
    </row>
    <row r="358" spans="1:5">
      <c r="A358" t="s">
        <v>0</v>
      </c>
      <c r="B358" t="s">
        <v>99</v>
      </c>
      <c r="C358" s="5">
        <v>45492</v>
      </c>
      <c r="D358">
        <v>289</v>
      </c>
      <c r="E358">
        <f>WEEKNUM(Append321[[#This Row],[Date]])</f>
        <v>29</v>
      </c>
    </row>
    <row r="359" spans="1:5">
      <c r="A359" t="s">
        <v>0</v>
      </c>
      <c r="B359" t="s">
        <v>99</v>
      </c>
      <c r="C359" s="5">
        <v>45493</v>
      </c>
      <c r="D359">
        <v>289</v>
      </c>
      <c r="E359">
        <f>WEEKNUM(Append321[[#This Row],[Date]])</f>
        <v>29</v>
      </c>
    </row>
    <row r="360" spans="1:5">
      <c r="A360" t="s">
        <v>0</v>
      </c>
      <c r="B360" t="s">
        <v>99</v>
      </c>
      <c r="C360" s="5">
        <v>45494</v>
      </c>
      <c r="D360">
        <v>205</v>
      </c>
      <c r="E360">
        <f>WEEKNUM(Append321[[#This Row],[Date]])</f>
        <v>30</v>
      </c>
    </row>
    <row r="361" spans="1:5">
      <c r="A361" t="s">
        <v>0</v>
      </c>
      <c r="B361" t="s">
        <v>99</v>
      </c>
      <c r="C361" s="5">
        <v>45495</v>
      </c>
      <c r="D361">
        <v>213</v>
      </c>
      <c r="E361">
        <f>WEEKNUM(Append321[[#This Row],[Date]])</f>
        <v>30</v>
      </c>
    </row>
    <row r="362" spans="1:5">
      <c r="A362" t="s">
        <v>0</v>
      </c>
      <c r="B362" t="s">
        <v>99</v>
      </c>
      <c r="C362" s="5">
        <v>45496</v>
      </c>
      <c r="D362">
        <v>190</v>
      </c>
      <c r="E362">
        <f>WEEKNUM(Append321[[#This Row],[Date]])</f>
        <v>30</v>
      </c>
    </row>
    <row r="363" spans="1:5">
      <c r="A363" t="s">
        <v>0</v>
      </c>
      <c r="B363" t="s">
        <v>99</v>
      </c>
      <c r="C363" s="5">
        <v>45497</v>
      </c>
      <c r="D363">
        <v>236</v>
      </c>
      <c r="E363">
        <f>WEEKNUM(Append321[[#This Row],[Date]])</f>
        <v>30</v>
      </c>
    </row>
    <row r="364" spans="1:5">
      <c r="A364" t="s">
        <v>0</v>
      </c>
      <c r="B364" t="s">
        <v>99</v>
      </c>
      <c r="C364" s="5">
        <v>45498</v>
      </c>
      <c r="D364">
        <v>225</v>
      </c>
      <c r="E364">
        <f>WEEKNUM(Append321[[#This Row],[Date]])</f>
        <v>30</v>
      </c>
    </row>
    <row r="365" spans="1:5">
      <c r="A365" t="s">
        <v>0</v>
      </c>
      <c r="B365" t="s">
        <v>99</v>
      </c>
      <c r="C365" s="5">
        <v>45499</v>
      </c>
      <c r="D365">
        <v>259</v>
      </c>
      <c r="E365">
        <f>WEEKNUM(Append321[[#This Row],[Date]])</f>
        <v>30</v>
      </c>
    </row>
    <row r="366" spans="1:5">
      <c r="A366" t="s">
        <v>0</v>
      </c>
      <c r="B366" t="s">
        <v>99</v>
      </c>
      <c r="C366" s="5">
        <v>45500</v>
      </c>
      <c r="D366">
        <v>277</v>
      </c>
      <c r="E366">
        <f>WEEKNUM(Append321[[#This Row],[Date]])</f>
        <v>30</v>
      </c>
    </row>
    <row r="367" spans="1:5">
      <c r="A367" t="s">
        <v>0</v>
      </c>
      <c r="B367" t="s">
        <v>99</v>
      </c>
      <c r="C367" s="5">
        <v>45501</v>
      </c>
      <c r="D367">
        <v>202</v>
      </c>
      <c r="E367">
        <f>WEEKNUM(Append321[[#This Row],[Date]])</f>
        <v>31</v>
      </c>
    </row>
    <row r="368" spans="1:5">
      <c r="A368" t="s">
        <v>0</v>
      </c>
      <c r="B368" t="s">
        <v>99</v>
      </c>
      <c r="C368" s="5">
        <v>45502</v>
      </c>
      <c r="D368">
        <v>185</v>
      </c>
      <c r="E368">
        <f>WEEKNUM(Append321[[#This Row],[Date]])</f>
        <v>31</v>
      </c>
    </row>
    <row r="369" spans="1:5">
      <c r="A369" t="s">
        <v>0</v>
      </c>
      <c r="B369" t="s">
        <v>99</v>
      </c>
      <c r="C369" s="5">
        <v>45503</v>
      </c>
      <c r="D369">
        <v>164</v>
      </c>
      <c r="E369">
        <f>WEEKNUM(Append321[[#This Row],[Date]])</f>
        <v>31</v>
      </c>
    </row>
    <row r="370" spans="1:5">
      <c r="A370" t="s">
        <v>0</v>
      </c>
      <c r="B370" t="s">
        <v>99</v>
      </c>
      <c r="C370" s="5">
        <v>45504</v>
      </c>
      <c r="D370">
        <v>187</v>
      </c>
      <c r="E370">
        <f>WEEKNUM(Append321[[#This Row],[Date]])</f>
        <v>31</v>
      </c>
    </row>
    <row r="371" spans="1:5">
      <c r="A371" t="s">
        <v>0</v>
      </c>
      <c r="B371" t="s">
        <v>99</v>
      </c>
      <c r="C371" s="5">
        <v>45505</v>
      </c>
      <c r="D371">
        <v>209</v>
      </c>
      <c r="E371">
        <f>WEEKNUM(Append321[[#This Row],[Date]])</f>
        <v>31</v>
      </c>
    </row>
    <row r="372" spans="1:5">
      <c r="A372" t="s">
        <v>0</v>
      </c>
      <c r="B372" t="s">
        <v>99</v>
      </c>
      <c r="C372" s="5">
        <v>45506</v>
      </c>
      <c r="D372">
        <v>262</v>
      </c>
      <c r="E372">
        <f>WEEKNUM(Append321[[#This Row],[Date]])</f>
        <v>31</v>
      </c>
    </row>
    <row r="373" spans="1:5">
      <c r="A373" t="s">
        <v>0</v>
      </c>
      <c r="B373" t="s">
        <v>99</v>
      </c>
      <c r="C373" s="5">
        <v>45507</v>
      </c>
      <c r="D373">
        <v>249</v>
      </c>
      <c r="E373">
        <f>WEEKNUM(Append321[[#This Row],[Date]])</f>
        <v>31</v>
      </c>
    </row>
    <row r="374" spans="1:5">
      <c r="A374" t="s">
        <v>0</v>
      </c>
      <c r="B374" t="s">
        <v>99</v>
      </c>
      <c r="C374" s="5">
        <v>45508</v>
      </c>
      <c r="D374">
        <v>199</v>
      </c>
      <c r="E374">
        <f>WEEKNUM(Append321[[#This Row],[Date]])</f>
        <v>32</v>
      </c>
    </row>
    <row r="375" spans="1:5">
      <c r="A375" t="s">
        <v>0</v>
      </c>
      <c r="B375" t="s">
        <v>99</v>
      </c>
      <c r="C375" s="5">
        <v>45509</v>
      </c>
      <c r="D375">
        <v>206</v>
      </c>
      <c r="E375">
        <f>WEEKNUM(Append321[[#This Row],[Date]])</f>
        <v>32</v>
      </c>
    </row>
    <row r="376" spans="1:5">
      <c r="A376" t="s">
        <v>0</v>
      </c>
      <c r="B376" t="s">
        <v>99</v>
      </c>
      <c r="C376" s="5">
        <v>45510</v>
      </c>
      <c r="D376">
        <v>206</v>
      </c>
      <c r="E376">
        <f>WEEKNUM(Append321[[#This Row],[Date]])</f>
        <v>32</v>
      </c>
    </row>
    <row r="377" spans="1:5">
      <c r="A377" t="s">
        <v>0</v>
      </c>
      <c r="B377" t="s">
        <v>99</v>
      </c>
      <c r="C377" s="5">
        <v>45511</v>
      </c>
      <c r="D377">
        <v>231</v>
      </c>
      <c r="E377">
        <f>WEEKNUM(Append321[[#This Row],[Date]])</f>
        <v>32</v>
      </c>
    </row>
    <row r="378" spans="1:5">
      <c r="A378" t="s">
        <v>0</v>
      </c>
      <c r="B378" t="s">
        <v>99</v>
      </c>
      <c r="C378" s="5">
        <v>45512</v>
      </c>
      <c r="D378">
        <v>231</v>
      </c>
      <c r="E378">
        <f>WEEKNUM(Append321[[#This Row],[Date]])</f>
        <v>32</v>
      </c>
    </row>
    <row r="379" spans="1:5">
      <c r="A379" t="s">
        <v>0</v>
      </c>
      <c r="B379" t="s">
        <v>99</v>
      </c>
      <c r="C379" s="5">
        <v>45513</v>
      </c>
      <c r="D379">
        <v>213</v>
      </c>
      <c r="E379">
        <f>WEEKNUM(Append321[[#This Row],[Date]])</f>
        <v>32</v>
      </c>
    </row>
    <row r="380" spans="1:5">
      <c r="A380" t="s">
        <v>0</v>
      </c>
      <c r="B380" t="s">
        <v>99</v>
      </c>
      <c r="C380" s="5">
        <v>45514</v>
      </c>
      <c r="D380">
        <v>250</v>
      </c>
      <c r="E380">
        <f>WEEKNUM(Append321[[#This Row],[Date]])</f>
        <v>32</v>
      </c>
    </row>
    <row r="381" spans="1:5">
      <c r="A381" t="s">
        <v>0</v>
      </c>
      <c r="B381" t="s">
        <v>99</v>
      </c>
      <c r="C381" s="5">
        <v>45515</v>
      </c>
      <c r="D381">
        <v>207</v>
      </c>
      <c r="E381">
        <f>WEEKNUM(Append321[[#This Row],[Date]])</f>
        <v>33</v>
      </c>
    </row>
    <row r="382" spans="1:5">
      <c r="A382" t="s">
        <v>0</v>
      </c>
      <c r="B382" t="s">
        <v>99</v>
      </c>
      <c r="C382" s="5">
        <v>45516</v>
      </c>
      <c r="D382">
        <v>207</v>
      </c>
      <c r="E382">
        <f>WEEKNUM(Append321[[#This Row],[Date]])</f>
        <v>33</v>
      </c>
    </row>
    <row r="383" spans="1:5">
      <c r="A383" t="s">
        <v>0</v>
      </c>
      <c r="B383" t="s">
        <v>99</v>
      </c>
      <c r="C383" s="5">
        <v>45517</v>
      </c>
      <c r="D383">
        <v>200</v>
      </c>
      <c r="E383">
        <f>WEEKNUM(Append321[[#This Row],[Date]])</f>
        <v>33</v>
      </c>
    </row>
    <row r="384" spans="1:5">
      <c r="A384" t="s">
        <v>0</v>
      </c>
      <c r="B384" t="s">
        <v>99</v>
      </c>
      <c r="C384" s="5">
        <v>45518</v>
      </c>
      <c r="D384">
        <v>181</v>
      </c>
      <c r="E384">
        <f>WEEKNUM(Append321[[#This Row],[Date]])</f>
        <v>33</v>
      </c>
    </row>
    <row r="385" spans="1:5">
      <c r="A385" t="s">
        <v>0</v>
      </c>
      <c r="B385" t="s">
        <v>99</v>
      </c>
      <c r="C385" s="5">
        <v>45519</v>
      </c>
      <c r="D385">
        <v>249</v>
      </c>
      <c r="E385">
        <f>WEEKNUM(Append321[[#This Row],[Date]])</f>
        <v>33</v>
      </c>
    </row>
    <row r="386" spans="1:5">
      <c r="A386" t="s">
        <v>0</v>
      </c>
      <c r="B386" t="s">
        <v>99</v>
      </c>
      <c r="C386" s="5">
        <v>45520</v>
      </c>
      <c r="D386">
        <v>228</v>
      </c>
      <c r="E386">
        <f>WEEKNUM(Append321[[#This Row],[Date]])</f>
        <v>33</v>
      </c>
    </row>
    <row r="387" spans="1:5">
      <c r="A387" t="s">
        <v>0</v>
      </c>
      <c r="B387" t="s">
        <v>99</v>
      </c>
      <c r="C387" s="5">
        <v>45521</v>
      </c>
      <c r="D387">
        <v>273</v>
      </c>
      <c r="E387">
        <f>WEEKNUM(Append321[[#This Row],[Date]])</f>
        <v>33</v>
      </c>
    </row>
    <row r="388" spans="1:5">
      <c r="A388" t="s">
        <v>0</v>
      </c>
      <c r="B388" t="s">
        <v>99</v>
      </c>
      <c r="C388" s="5">
        <v>45522</v>
      </c>
      <c r="D388">
        <v>206</v>
      </c>
      <c r="E388">
        <f>WEEKNUM(Append321[[#This Row],[Date]])</f>
        <v>34</v>
      </c>
    </row>
    <row r="389" spans="1:5">
      <c r="A389" t="s">
        <v>0</v>
      </c>
      <c r="B389" t="s">
        <v>99</v>
      </c>
      <c r="C389" s="5">
        <v>45523</v>
      </c>
      <c r="D389">
        <v>207</v>
      </c>
      <c r="E389">
        <f>WEEKNUM(Append321[[#This Row],[Date]])</f>
        <v>34</v>
      </c>
    </row>
    <row r="390" spans="1:5">
      <c r="A390" t="s">
        <v>0</v>
      </c>
      <c r="B390" t="s">
        <v>99</v>
      </c>
      <c r="C390" s="5">
        <v>45524</v>
      </c>
      <c r="D390">
        <v>227</v>
      </c>
      <c r="E390">
        <f>WEEKNUM(Append321[[#This Row],[Date]])</f>
        <v>34</v>
      </c>
    </row>
    <row r="391" spans="1:5">
      <c r="A391" t="s">
        <v>0</v>
      </c>
      <c r="B391" t="s">
        <v>99</v>
      </c>
      <c r="C391" s="5">
        <v>45525</v>
      </c>
      <c r="D391">
        <v>231</v>
      </c>
      <c r="E391">
        <f>WEEKNUM(Append321[[#This Row],[Date]])</f>
        <v>34</v>
      </c>
    </row>
    <row r="392" spans="1:5">
      <c r="A392" t="s">
        <v>0</v>
      </c>
      <c r="B392" t="s">
        <v>99</v>
      </c>
      <c r="C392" s="5">
        <v>45526</v>
      </c>
      <c r="D392">
        <v>194</v>
      </c>
      <c r="E392">
        <f>WEEKNUM(Append321[[#This Row],[Date]])</f>
        <v>34</v>
      </c>
    </row>
    <row r="393" spans="1:5">
      <c r="A393" t="s">
        <v>0</v>
      </c>
      <c r="B393" t="s">
        <v>99</v>
      </c>
      <c r="C393" s="5">
        <v>45527</v>
      </c>
      <c r="D393">
        <v>247</v>
      </c>
      <c r="E393">
        <f>WEEKNUM(Append321[[#This Row],[Date]])</f>
        <v>34</v>
      </c>
    </row>
    <row r="394" spans="1:5">
      <c r="A394" t="s">
        <v>0</v>
      </c>
      <c r="B394" t="s">
        <v>99</v>
      </c>
      <c r="C394" s="5">
        <v>45528</v>
      </c>
      <c r="D394">
        <v>295</v>
      </c>
      <c r="E394">
        <f>WEEKNUM(Append321[[#This Row],[Date]])</f>
        <v>34</v>
      </c>
    </row>
    <row r="395" spans="1:5">
      <c r="A395" t="s">
        <v>0</v>
      </c>
      <c r="B395" t="s">
        <v>99</v>
      </c>
      <c r="C395" s="5">
        <v>45529</v>
      </c>
      <c r="D395">
        <v>192</v>
      </c>
      <c r="E395">
        <f>WEEKNUM(Append321[[#This Row],[Date]])</f>
        <v>35</v>
      </c>
    </row>
    <row r="396" spans="1:5">
      <c r="A396" t="s">
        <v>0</v>
      </c>
      <c r="B396" t="s">
        <v>99</v>
      </c>
      <c r="C396" s="5">
        <v>45530</v>
      </c>
      <c r="D396">
        <v>203</v>
      </c>
      <c r="E396">
        <f>WEEKNUM(Append321[[#This Row],[Date]])</f>
        <v>35</v>
      </c>
    </row>
    <row r="397" spans="1:5">
      <c r="A397" t="s">
        <v>0</v>
      </c>
      <c r="B397" t="s">
        <v>99</v>
      </c>
      <c r="C397" s="5">
        <v>45531</v>
      </c>
      <c r="D397">
        <v>223</v>
      </c>
      <c r="E397">
        <f>WEEKNUM(Append321[[#This Row],[Date]])</f>
        <v>35</v>
      </c>
    </row>
    <row r="398" spans="1:5">
      <c r="A398" t="s">
        <v>0</v>
      </c>
      <c r="B398" t="s">
        <v>99</v>
      </c>
      <c r="C398" s="5">
        <v>45532</v>
      </c>
      <c r="D398">
        <v>230</v>
      </c>
      <c r="E398">
        <f>WEEKNUM(Append321[[#This Row],[Date]])</f>
        <v>35</v>
      </c>
    </row>
    <row r="399" spans="1:5">
      <c r="A399" t="s">
        <v>0</v>
      </c>
      <c r="B399" t="s">
        <v>99</v>
      </c>
      <c r="C399" s="5">
        <v>45533</v>
      </c>
      <c r="D399">
        <v>202</v>
      </c>
      <c r="E399">
        <f>WEEKNUM(Append321[[#This Row],[Date]])</f>
        <v>35</v>
      </c>
    </row>
    <row r="400" spans="1:5">
      <c r="A400" t="s">
        <v>0</v>
      </c>
      <c r="B400" t="s">
        <v>99</v>
      </c>
      <c r="C400" s="5">
        <v>45534</v>
      </c>
      <c r="D400">
        <v>239</v>
      </c>
      <c r="E400">
        <f>WEEKNUM(Append321[[#This Row],[Date]])</f>
        <v>35</v>
      </c>
    </row>
    <row r="401" spans="1:5">
      <c r="A401" t="s">
        <v>0</v>
      </c>
      <c r="B401" t="s">
        <v>99</v>
      </c>
      <c r="C401" s="5">
        <v>45535</v>
      </c>
      <c r="D401">
        <v>278</v>
      </c>
      <c r="E401">
        <f>WEEKNUM(Append321[[#This Row],[Date]])</f>
        <v>35</v>
      </c>
    </row>
    <row r="402" spans="1:5">
      <c r="A402" t="s">
        <v>0</v>
      </c>
      <c r="B402" t="s">
        <v>100</v>
      </c>
      <c r="C402" s="5">
        <v>45444</v>
      </c>
      <c r="D402">
        <v>347</v>
      </c>
      <c r="E402">
        <f>WEEKNUM(Append321[[#This Row],[Date]])</f>
        <v>22</v>
      </c>
    </row>
    <row r="403" spans="1:5">
      <c r="A403" t="s">
        <v>0</v>
      </c>
      <c r="B403" t="s">
        <v>100</v>
      </c>
      <c r="C403" s="5">
        <v>45445</v>
      </c>
      <c r="D403">
        <v>261</v>
      </c>
      <c r="E403">
        <f>WEEKNUM(Append321[[#This Row],[Date]])</f>
        <v>23</v>
      </c>
    </row>
    <row r="404" spans="1:5">
      <c r="A404" t="s">
        <v>0</v>
      </c>
      <c r="B404" t="s">
        <v>100</v>
      </c>
      <c r="C404" s="5">
        <v>45446</v>
      </c>
      <c r="D404">
        <v>250</v>
      </c>
      <c r="E404">
        <f>WEEKNUM(Append321[[#This Row],[Date]])</f>
        <v>23</v>
      </c>
    </row>
    <row r="405" spans="1:5">
      <c r="A405" t="s">
        <v>0</v>
      </c>
      <c r="B405" t="s">
        <v>100</v>
      </c>
      <c r="C405" s="5">
        <v>45447</v>
      </c>
      <c r="D405">
        <v>229</v>
      </c>
      <c r="E405">
        <f>WEEKNUM(Append321[[#This Row],[Date]])</f>
        <v>23</v>
      </c>
    </row>
    <row r="406" spans="1:5">
      <c r="A406" t="s">
        <v>0</v>
      </c>
      <c r="B406" t="s">
        <v>100</v>
      </c>
      <c r="C406" s="5">
        <v>45448</v>
      </c>
      <c r="D406">
        <v>243</v>
      </c>
      <c r="E406">
        <f>WEEKNUM(Append321[[#This Row],[Date]])</f>
        <v>23</v>
      </c>
    </row>
    <row r="407" spans="1:5">
      <c r="A407" t="s">
        <v>0</v>
      </c>
      <c r="B407" t="s">
        <v>100</v>
      </c>
      <c r="C407" s="5">
        <v>45449</v>
      </c>
      <c r="D407">
        <v>340</v>
      </c>
      <c r="E407">
        <f>WEEKNUM(Append321[[#This Row],[Date]])</f>
        <v>23</v>
      </c>
    </row>
    <row r="408" spans="1:5">
      <c r="A408" t="s">
        <v>0</v>
      </c>
      <c r="B408" t="s">
        <v>100</v>
      </c>
      <c r="C408" s="5">
        <v>45450</v>
      </c>
      <c r="D408">
        <v>339</v>
      </c>
      <c r="E408">
        <f>WEEKNUM(Append321[[#This Row],[Date]])</f>
        <v>23</v>
      </c>
    </row>
    <row r="409" spans="1:5">
      <c r="A409" t="s">
        <v>0</v>
      </c>
      <c r="B409" t="s">
        <v>100</v>
      </c>
      <c r="C409" s="5">
        <v>45451</v>
      </c>
      <c r="D409">
        <v>409</v>
      </c>
      <c r="E409">
        <f>WEEKNUM(Append321[[#This Row],[Date]])</f>
        <v>23</v>
      </c>
    </row>
    <row r="410" spans="1:5">
      <c r="A410" t="s">
        <v>0</v>
      </c>
      <c r="B410" t="s">
        <v>100</v>
      </c>
      <c r="C410" s="5">
        <v>45452</v>
      </c>
      <c r="D410">
        <v>315</v>
      </c>
      <c r="E410">
        <f>WEEKNUM(Append321[[#This Row],[Date]])</f>
        <v>24</v>
      </c>
    </row>
    <row r="411" spans="1:5">
      <c r="A411" t="s">
        <v>0</v>
      </c>
      <c r="B411" t="s">
        <v>100</v>
      </c>
      <c r="C411" s="5">
        <v>45453</v>
      </c>
      <c r="D411">
        <v>294</v>
      </c>
      <c r="E411">
        <f>WEEKNUM(Append321[[#This Row],[Date]])</f>
        <v>24</v>
      </c>
    </row>
    <row r="412" spans="1:5">
      <c r="A412" t="s">
        <v>0</v>
      </c>
      <c r="B412" t="s">
        <v>100</v>
      </c>
      <c r="C412" s="5">
        <v>45454</v>
      </c>
      <c r="D412">
        <v>340</v>
      </c>
      <c r="E412">
        <f>WEEKNUM(Append321[[#This Row],[Date]])</f>
        <v>24</v>
      </c>
    </row>
    <row r="413" spans="1:5">
      <c r="A413" t="s">
        <v>0</v>
      </c>
      <c r="B413" t="s">
        <v>100</v>
      </c>
      <c r="C413" s="5">
        <v>45455</v>
      </c>
      <c r="D413">
        <v>385</v>
      </c>
      <c r="E413">
        <f>WEEKNUM(Append321[[#This Row],[Date]])</f>
        <v>24</v>
      </c>
    </row>
    <row r="414" spans="1:5">
      <c r="A414" t="s">
        <v>0</v>
      </c>
      <c r="B414" t="s">
        <v>100</v>
      </c>
      <c r="C414" s="5">
        <v>45456</v>
      </c>
      <c r="D414">
        <v>349</v>
      </c>
      <c r="E414">
        <f>WEEKNUM(Append321[[#This Row],[Date]])</f>
        <v>24</v>
      </c>
    </row>
    <row r="415" spans="1:5">
      <c r="A415" t="s">
        <v>0</v>
      </c>
      <c r="B415" t="s">
        <v>100</v>
      </c>
      <c r="C415" s="5">
        <v>45457</v>
      </c>
      <c r="D415">
        <v>436</v>
      </c>
      <c r="E415">
        <f>WEEKNUM(Append321[[#This Row],[Date]])</f>
        <v>24</v>
      </c>
    </row>
    <row r="416" spans="1:5">
      <c r="A416" t="s">
        <v>0</v>
      </c>
      <c r="B416" t="s">
        <v>100</v>
      </c>
      <c r="C416" s="5">
        <v>45458</v>
      </c>
      <c r="D416">
        <v>316</v>
      </c>
      <c r="E416">
        <f>WEEKNUM(Append321[[#This Row],[Date]])</f>
        <v>24</v>
      </c>
    </row>
    <row r="417" spans="1:5">
      <c r="A417" t="s">
        <v>0</v>
      </c>
      <c r="B417" t="s">
        <v>100</v>
      </c>
      <c r="C417" s="5">
        <v>45459</v>
      </c>
      <c r="D417">
        <v>266</v>
      </c>
      <c r="E417">
        <f>WEEKNUM(Append321[[#This Row],[Date]])</f>
        <v>25</v>
      </c>
    </row>
    <row r="418" spans="1:5">
      <c r="A418" t="s">
        <v>0</v>
      </c>
      <c r="B418" t="s">
        <v>100</v>
      </c>
      <c r="C418" s="5">
        <v>45460</v>
      </c>
      <c r="D418">
        <v>217</v>
      </c>
      <c r="E418">
        <f>WEEKNUM(Append321[[#This Row],[Date]])</f>
        <v>25</v>
      </c>
    </row>
    <row r="419" spans="1:5">
      <c r="A419" t="s">
        <v>0</v>
      </c>
      <c r="B419" t="s">
        <v>100</v>
      </c>
      <c r="C419" s="5">
        <v>45461</v>
      </c>
      <c r="D419">
        <v>257</v>
      </c>
      <c r="E419">
        <f>WEEKNUM(Append321[[#This Row],[Date]])</f>
        <v>25</v>
      </c>
    </row>
    <row r="420" spans="1:5">
      <c r="A420" t="s">
        <v>0</v>
      </c>
      <c r="B420" t="s">
        <v>100</v>
      </c>
      <c r="C420" s="5">
        <v>45462</v>
      </c>
      <c r="D420">
        <v>241</v>
      </c>
      <c r="E420">
        <f>WEEKNUM(Append321[[#This Row],[Date]])</f>
        <v>25</v>
      </c>
    </row>
    <row r="421" spans="1:5">
      <c r="A421" t="s">
        <v>0</v>
      </c>
      <c r="B421" t="s">
        <v>100</v>
      </c>
      <c r="C421" s="5">
        <v>45463</v>
      </c>
      <c r="D421">
        <v>243</v>
      </c>
      <c r="E421">
        <f>WEEKNUM(Append321[[#This Row],[Date]])</f>
        <v>25</v>
      </c>
    </row>
    <row r="422" spans="1:5">
      <c r="A422" t="s">
        <v>0</v>
      </c>
      <c r="B422" t="s">
        <v>100</v>
      </c>
      <c r="C422" s="5">
        <v>45464</v>
      </c>
      <c r="D422">
        <v>274</v>
      </c>
      <c r="E422">
        <f>WEEKNUM(Append321[[#This Row],[Date]])</f>
        <v>25</v>
      </c>
    </row>
    <row r="423" spans="1:5">
      <c r="A423" t="s">
        <v>0</v>
      </c>
      <c r="B423" t="s">
        <v>100</v>
      </c>
      <c r="C423" s="5">
        <v>45465</v>
      </c>
      <c r="D423">
        <v>308</v>
      </c>
      <c r="E423">
        <f>WEEKNUM(Append321[[#This Row],[Date]])</f>
        <v>25</v>
      </c>
    </row>
    <row r="424" spans="1:5">
      <c r="A424" t="s">
        <v>0</v>
      </c>
      <c r="B424" t="s">
        <v>100</v>
      </c>
      <c r="C424" s="5">
        <v>45466</v>
      </c>
      <c r="D424">
        <v>226</v>
      </c>
      <c r="E424">
        <f>WEEKNUM(Append321[[#This Row],[Date]])</f>
        <v>26</v>
      </c>
    </row>
    <row r="425" spans="1:5">
      <c r="A425" t="s">
        <v>0</v>
      </c>
      <c r="B425" t="s">
        <v>100</v>
      </c>
      <c r="C425" s="5">
        <v>45467</v>
      </c>
      <c r="D425">
        <v>233</v>
      </c>
      <c r="E425">
        <f>WEEKNUM(Append321[[#This Row],[Date]])</f>
        <v>26</v>
      </c>
    </row>
    <row r="426" spans="1:5">
      <c r="A426" t="s">
        <v>0</v>
      </c>
      <c r="B426" t="s">
        <v>100</v>
      </c>
      <c r="C426" s="5">
        <v>45468</v>
      </c>
      <c r="D426">
        <v>239</v>
      </c>
      <c r="E426">
        <f>WEEKNUM(Append321[[#This Row],[Date]])</f>
        <v>26</v>
      </c>
    </row>
    <row r="427" spans="1:5">
      <c r="A427" t="s">
        <v>0</v>
      </c>
      <c r="B427" t="s">
        <v>100</v>
      </c>
      <c r="C427" s="5">
        <v>45469</v>
      </c>
      <c r="D427">
        <v>257</v>
      </c>
      <c r="E427">
        <f>WEEKNUM(Append321[[#This Row],[Date]])</f>
        <v>26</v>
      </c>
    </row>
    <row r="428" spans="1:5">
      <c r="A428" t="s">
        <v>0</v>
      </c>
      <c r="B428" t="s">
        <v>100</v>
      </c>
      <c r="C428" s="5">
        <v>45470</v>
      </c>
      <c r="D428">
        <v>241</v>
      </c>
      <c r="E428">
        <f>WEEKNUM(Append321[[#This Row],[Date]])</f>
        <v>26</v>
      </c>
    </row>
    <row r="429" spans="1:5">
      <c r="A429" t="s">
        <v>0</v>
      </c>
      <c r="B429" t="s">
        <v>100</v>
      </c>
      <c r="C429" s="5">
        <v>45471</v>
      </c>
      <c r="D429">
        <v>322</v>
      </c>
      <c r="E429">
        <f>WEEKNUM(Append321[[#This Row],[Date]])</f>
        <v>26</v>
      </c>
    </row>
    <row r="430" spans="1:5">
      <c r="A430" t="s">
        <v>0</v>
      </c>
      <c r="B430" t="s">
        <v>100</v>
      </c>
      <c r="C430" s="5">
        <v>45472</v>
      </c>
      <c r="D430">
        <v>295</v>
      </c>
      <c r="E430">
        <f>WEEKNUM(Append321[[#This Row],[Date]])</f>
        <v>26</v>
      </c>
    </row>
    <row r="431" spans="1:5">
      <c r="A431" t="s">
        <v>0</v>
      </c>
      <c r="B431" t="s">
        <v>100</v>
      </c>
      <c r="C431" s="5">
        <v>45473</v>
      </c>
      <c r="D431">
        <v>235</v>
      </c>
      <c r="E431">
        <f>WEEKNUM(Append321[[#This Row],[Date]])</f>
        <v>27</v>
      </c>
    </row>
    <row r="432" spans="1:5">
      <c r="A432" t="s">
        <v>0</v>
      </c>
      <c r="B432" t="s">
        <v>100</v>
      </c>
      <c r="C432" s="5">
        <v>45474</v>
      </c>
      <c r="D432">
        <v>244</v>
      </c>
      <c r="E432">
        <f>WEEKNUM(Append321[[#This Row],[Date]])</f>
        <v>27</v>
      </c>
    </row>
    <row r="433" spans="1:5">
      <c r="A433" t="s">
        <v>0</v>
      </c>
      <c r="B433" t="s">
        <v>100</v>
      </c>
      <c r="C433" s="5">
        <v>45475</v>
      </c>
      <c r="D433">
        <v>272</v>
      </c>
      <c r="E433">
        <f>WEEKNUM(Append321[[#This Row],[Date]])</f>
        <v>27</v>
      </c>
    </row>
    <row r="434" spans="1:5">
      <c r="A434" t="s">
        <v>0</v>
      </c>
      <c r="B434" t="s">
        <v>100</v>
      </c>
      <c r="C434" s="5">
        <v>45476</v>
      </c>
      <c r="D434">
        <v>247</v>
      </c>
      <c r="E434">
        <f>WEEKNUM(Append321[[#This Row],[Date]])</f>
        <v>27</v>
      </c>
    </row>
    <row r="435" spans="1:5">
      <c r="A435" t="s">
        <v>0</v>
      </c>
      <c r="B435" t="s">
        <v>100</v>
      </c>
      <c r="C435" s="5">
        <v>45477</v>
      </c>
      <c r="D435">
        <v>230</v>
      </c>
      <c r="E435">
        <f>WEEKNUM(Append321[[#This Row],[Date]])</f>
        <v>27</v>
      </c>
    </row>
    <row r="436" spans="1:5">
      <c r="A436" t="s">
        <v>0</v>
      </c>
      <c r="B436" t="s">
        <v>100</v>
      </c>
      <c r="C436" s="5">
        <v>45478</v>
      </c>
      <c r="D436">
        <v>282</v>
      </c>
      <c r="E436">
        <f>WEEKNUM(Append321[[#This Row],[Date]])</f>
        <v>27</v>
      </c>
    </row>
    <row r="437" spans="1:5">
      <c r="A437" t="s">
        <v>0</v>
      </c>
      <c r="B437" t="s">
        <v>100</v>
      </c>
      <c r="C437" s="5">
        <v>45479</v>
      </c>
      <c r="D437">
        <v>261</v>
      </c>
      <c r="E437">
        <f>WEEKNUM(Append321[[#This Row],[Date]])</f>
        <v>27</v>
      </c>
    </row>
    <row r="438" spans="1:5">
      <c r="A438" t="s">
        <v>0</v>
      </c>
      <c r="B438" t="s">
        <v>100</v>
      </c>
      <c r="C438" s="5">
        <v>45480</v>
      </c>
      <c r="D438">
        <v>188</v>
      </c>
      <c r="E438">
        <f>WEEKNUM(Append321[[#This Row],[Date]])</f>
        <v>28</v>
      </c>
    </row>
    <row r="439" spans="1:5">
      <c r="A439" t="s">
        <v>0</v>
      </c>
      <c r="B439" t="s">
        <v>100</v>
      </c>
      <c r="C439" s="5">
        <v>45481</v>
      </c>
      <c r="D439">
        <v>220</v>
      </c>
      <c r="E439">
        <f>WEEKNUM(Append321[[#This Row],[Date]])</f>
        <v>28</v>
      </c>
    </row>
    <row r="440" spans="1:5">
      <c r="A440" t="s">
        <v>0</v>
      </c>
      <c r="B440" t="s">
        <v>100</v>
      </c>
      <c r="C440" s="5">
        <v>45482</v>
      </c>
      <c r="D440">
        <v>189</v>
      </c>
      <c r="E440">
        <f>WEEKNUM(Append321[[#This Row],[Date]])</f>
        <v>28</v>
      </c>
    </row>
    <row r="441" spans="1:5">
      <c r="A441" t="s">
        <v>0</v>
      </c>
      <c r="B441" t="s">
        <v>100</v>
      </c>
      <c r="C441" s="5">
        <v>45483</v>
      </c>
      <c r="D441">
        <v>180</v>
      </c>
      <c r="E441">
        <f>WEEKNUM(Append321[[#This Row],[Date]])</f>
        <v>28</v>
      </c>
    </row>
    <row r="442" spans="1:5">
      <c r="A442" t="s">
        <v>0</v>
      </c>
      <c r="B442" t="s">
        <v>100</v>
      </c>
      <c r="C442" s="5">
        <v>45484</v>
      </c>
      <c r="D442">
        <v>234</v>
      </c>
      <c r="E442">
        <f>WEEKNUM(Append321[[#This Row],[Date]])</f>
        <v>28</v>
      </c>
    </row>
    <row r="443" spans="1:5">
      <c r="A443" t="s">
        <v>0</v>
      </c>
      <c r="B443" t="s">
        <v>100</v>
      </c>
      <c r="C443" s="5">
        <v>45485</v>
      </c>
      <c r="D443">
        <v>260</v>
      </c>
      <c r="E443">
        <f>WEEKNUM(Append321[[#This Row],[Date]])</f>
        <v>28</v>
      </c>
    </row>
    <row r="444" spans="1:5">
      <c r="A444" t="s">
        <v>0</v>
      </c>
      <c r="B444" t="s">
        <v>100</v>
      </c>
      <c r="C444" s="5">
        <v>45486</v>
      </c>
      <c r="D444">
        <v>265</v>
      </c>
      <c r="E444">
        <f>WEEKNUM(Append321[[#This Row],[Date]])</f>
        <v>28</v>
      </c>
    </row>
    <row r="445" spans="1:5">
      <c r="A445" t="s">
        <v>0</v>
      </c>
      <c r="B445" t="s">
        <v>100</v>
      </c>
      <c r="C445" s="5">
        <v>45487</v>
      </c>
      <c r="D445">
        <v>189</v>
      </c>
      <c r="E445">
        <f>WEEKNUM(Append321[[#This Row],[Date]])</f>
        <v>29</v>
      </c>
    </row>
    <row r="446" spans="1:5">
      <c r="A446" t="s">
        <v>0</v>
      </c>
      <c r="B446" t="s">
        <v>100</v>
      </c>
      <c r="C446" s="5">
        <v>45488</v>
      </c>
      <c r="D446">
        <v>183</v>
      </c>
      <c r="E446">
        <f>WEEKNUM(Append321[[#This Row],[Date]])</f>
        <v>29</v>
      </c>
    </row>
    <row r="447" spans="1:5">
      <c r="A447" t="s">
        <v>0</v>
      </c>
      <c r="B447" t="s">
        <v>100</v>
      </c>
      <c r="C447" s="5">
        <v>45489</v>
      </c>
      <c r="D447">
        <v>176</v>
      </c>
      <c r="E447">
        <f>WEEKNUM(Append321[[#This Row],[Date]])</f>
        <v>29</v>
      </c>
    </row>
    <row r="448" spans="1:5">
      <c r="A448" t="s">
        <v>0</v>
      </c>
      <c r="B448" t="s">
        <v>100</v>
      </c>
      <c r="C448" s="5">
        <v>45490</v>
      </c>
      <c r="D448">
        <v>179</v>
      </c>
      <c r="E448">
        <f>WEEKNUM(Append321[[#This Row],[Date]])</f>
        <v>29</v>
      </c>
    </row>
    <row r="449" spans="1:5">
      <c r="A449" t="s">
        <v>0</v>
      </c>
      <c r="B449" t="s">
        <v>100</v>
      </c>
      <c r="C449" s="5">
        <v>45491</v>
      </c>
      <c r="D449">
        <v>193</v>
      </c>
      <c r="E449">
        <f>WEEKNUM(Append321[[#This Row],[Date]])</f>
        <v>29</v>
      </c>
    </row>
    <row r="450" spans="1:5">
      <c r="A450" t="s">
        <v>0</v>
      </c>
      <c r="B450" t="s">
        <v>100</v>
      </c>
      <c r="C450" s="5">
        <v>45492</v>
      </c>
      <c r="D450">
        <v>250</v>
      </c>
      <c r="E450">
        <f>WEEKNUM(Append321[[#This Row],[Date]])</f>
        <v>29</v>
      </c>
    </row>
    <row r="451" spans="1:5">
      <c r="A451" t="s">
        <v>0</v>
      </c>
      <c r="B451" t="s">
        <v>100</v>
      </c>
      <c r="C451" s="5">
        <v>45493</v>
      </c>
      <c r="D451">
        <v>227</v>
      </c>
      <c r="E451">
        <f>WEEKNUM(Append321[[#This Row],[Date]])</f>
        <v>29</v>
      </c>
    </row>
    <row r="452" spans="1:5">
      <c r="A452" t="s">
        <v>0</v>
      </c>
      <c r="B452" t="s">
        <v>100</v>
      </c>
      <c r="C452" s="5">
        <v>45494</v>
      </c>
      <c r="D452">
        <v>175</v>
      </c>
      <c r="E452">
        <f>WEEKNUM(Append321[[#This Row],[Date]])</f>
        <v>30</v>
      </c>
    </row>
    <row r="453" spans="1:5">
      <c r="A453" t="s">
        <v>0</v>
      </c>
      <c r="B453" t="s">
        <v>100</v>
      </c>
      <c r="C453" s="5">
        <v>45495</v>
      </c>
      <c r="D453">
        <v>209</v>
      </c>
      <c r="E453">
        <f>WEEKNUM(Append321[[#This Row],[Date]])</f>
        <v>30</v>
      </c>
    </row>
    <row r="454" spans="1:5">
      <c r="A454" t="s">
        <v>0</v>
      </c>
      <c r="B454" t="s">
        <v>100</v>
      </c>
      <c r="C454" s="5">
        <v>45496</v>
      </c>
      <c r="D454">
        <v>142</v>
      </c>
      <c r="E454">
        <f>WEEKNUM(Append321[[#This Row],[Date]])</f>
        <v>30</v>
      </c>
    </row>
    <row r="455" spans="1:5">
      <c r="A455" t="s">
        <v>0</v>
      </c>
      <c r="B455" t="s">
        <v>100</v>
      </c>
      <c r="C455" s="5">
        <v>45497</v>
      </c>
      <c r="D455">
        <v>182</v>
      </c>
      <c r="E455">
        <f>WEEKNUM(Append321[[#This Row],[Date]])</f>
        <v>30</v>
      </c>
    </row>
    <row r="456" spans="1:5">
      <c r="A456" t="s">
        <v>0</v>
      </c>
      <c r="B456" t="s">
        <v>100</v>
      </c>
      <c r="C456" s="5">
        <v>45498</v>
      </c>
      <c r="D456">
        <v>198</v>
      </c>
      <c r="E456">
        <f>WEEKNUM(Append321[[#This Row],[Date]])</f>
        <v>30</v>
      </c>
    </row>
    <row r="457" spans="1:5">
      <c r="A457" t="s">
        <v>0</v>
      </c>
      <c r="B457" t="s">
        <v>100</v>
      </c>
      <c r="C457" s="5">
        <v>45499</v>
      </c>
      <c r="D457">
        <v>224</v>
      </c>
      <c r="E457">
        <f>WEEKNUM(Append321[[#This Row],[Date]])</f>
        <v>30</v>
      </c>
    </row>
    <row r="458" spans="1:5">
      <c r="A458" t="s">
        <v>0</v>
      </c>
      <c r="B458" t="s">
        <v>100</v>
      </c>
      <c r="C458" s="5">
        <v>45500</v>
      </c>
      <c r="D458">
        <v>242</v>
      </c>
      <c r="E458">
        <f>WEEKNUM(Append321[[#This Row],[Date]])</f>
        <v>30</v>
      </c>
    </row>
    <row r="459" spans="1:5">
      <c r="A459" t="s">
        <v>0</v>
      </c>
      <c r="B459" t="s">
        <v>100</v>
      </c>
      <c r="C459" s="5">
        <v>45501</v>
      </c>
      <c r="D459">
        <v>182</v>
      </c>
      <c r="E459">
        <f>WEEKNUM(Append321[[#This Row],[Date]])</f>
        <v>31</v>
      </c>
    </row>
    <row r="460" spans="1:5">
      <c r="A460" t="s">
        <v>0</v>
      </c>
      <c r="B460" t="s">
        <v>100</v>
      </c>
      <c r="C460" s="5">
        <v>45502</v>
      </c>
      <c r="D460">
        <v>133</v>
      </c>
      <c r="E460">
        <f>WEEKNUM(Append321[[#This Row],[Date]])</f>
        <v>31</v>
      </c>
    </row>
    <row r="461" spans="1:5">
      <c r="A461" t="s">
        <v>0</v>
      </c>
      <c r="B461" t="s">
        <v>100</v>
      </c>
      <c r="C461" s="5">
        <v>45503</v>
      </c>
      <c r="D461">
        <v>156</v>
      </c>
      <c r="E461">
        <f>WEEKNUM(Append321[[#This Row],[Date]])</f>
        <v>31</v>
      </c>
    </row>
    <row r="462" spans="1:5">
      <c r="A462" t="s">
        <v>0</v>
      </c>
      <c r="B462" t="s">
        <v>100</v>
      </c>
      <c r="C462" s="5">
        <v>45504</v>
      </c>
      <c r="D462">
        <v>186</v>
      </c>
      <c r="E462">
        <f>WEEKNUM(Append321[[#This Row],[Date]])</f>
        <v>31</v>
      </c>
    </row>
    <row r="463" spans="1:5">
      <c r="A463" t="s">
        <v>0</v>
      </c>
      <c r="B463" t="s">
        <v>100</v>
      </c>
      <c r="C463" s="5">
        <v>45505</v>
      </c>
      <c r="D463">
        <v>173</v>
      </c>
      <c r="E463">
        <f>WEEKNUM(Append321[[#This Row],[Date]])</f>
        <v>31</v>
      </c>
    </row>
    <row r="464" spans="1:5">
      <c r="A464" t="s">
        <v>0</v>
      </c>
      <c r="B464" t="s">
        <v>100</v>
      </c>
      <c r="C464" s="5">
        <v>45506</v>
      </c>
      <c r="D464">
        <v>210</v>
      </c>
      <c r="E464">
        <f>WEEKNUM(Append321[[#This Row],[Date]])</f>
        <v>31</v>
      </c>
    </row>
    <row r="465" spans="1:5">
      <c r="A465" t="s">
        <v>0</v>
      </c>
      <c r="B465" t="s">
        <v>100</v>
      </c>
      <c r="C465" s="5">
        <v>45507</v>
      </c>
      <c r="D465">
        <v>202</v>
      </c>
      <c r="E465">
        <f>WEEKNUM(Append321[[#This Row],[Date]])</f>
        <v>31</v>
      </c>
    </row>
    <row r="466" spans="1:5">
      <c r="A466" t="s">
        <v>0</v>
      </c>
      <c r="B466" t="s">
        <v>100</v>
      </c>
      <c r="C466" s="5">
        <v>45508</v>
      </c>
      <c r="D466">
        <v>147</v>
      </c>
      <c r="E466">
        <f>WEEKNUM(Append321[[#This Row],[Date]])</f>
        <v>32</v>
      </c>
    </row>
    <row r="467" spans="1:5">
      <c r="A467" t="s">
        <v>0</v>
      </c>
      <c r="B467" t="s">
        <v>100</v>
      </c>
      <c r="C467" s="5">
        <v>45509</v>
      </c>
      <c r="D467">
        <v>176</v>
      </c>
      <c r="E467">
        <f>WEEKNUM(Append321[[#This Row],[Date]])</f>
        <v>32</v>
      </c>
    </row>
    <row r="468" spans="1:5">
      <c r="A468" t="s">
        <v>0</v>
      </c>
      <c r="B468" t="s">
        <v>100</v>
      </c>
      <c r="C468" s="5">
        <v>45510</v>
      </c>
      <c r="D468">
        <v>183</v>
      </c>
      <c r="E468">
        <f>WEEKNUM(Append321[[#This Row],[Date]])</f>
        <v>32</v>
      </c>
    </row>
    <row r="469" spans="1:5">
      <c r="A469" t="s">
        <v>0</v>
      </c>
      <c r="B469" t="s">
        <v>100</v>
      </c>
      <c r="C469" s="5">
        <v>45511</v>
      </c>
      <c r="D469">
        <v>207</v>
      </c>
      <c r="E469">
        <f>WEEKNUM(Append321[[#This Row],[Date]])</f>
        <v>32</v>
      </c>
    </row>
    <row r="470" spans="1:5">
      <c r="A470" t="s">
        <v>0</v>
      </c>
      <c r="B470" t="s">
        <v>100</v>
      </c>
      <c r="C470" s="5">
        <v>45512</v>
      </c>
      <c r="D470">
        <v>204</v>
      </c>
      <c r="E470">
        <f>WEEKNUM(Append321[[#This Row],[Date]])</f>
        <v>32</v>
      </c>
    </row>
    <row r="471" spans="1:5">
      <c r="A471" t="s">
        <v>0</v>
      </c>
      <c r="B471" t="s">
        <v>100</v>
      </c>
      <c r="C471" s="5">
        <v>45513</v>
      </c>
      <c r="D471">
        <v>194</v>
      </c>
      <c r="E471">
        <f>WEEKNUM(Append321[[#This Row],[Date]])</f>
        <v>32</v>
      </c>
    </row>
    <row r="472" spans="1:5">
      <c r="A472" t="s">
        <v>0</v>
      </c>
      <c r="B472" t="s">
        <v>100</v>
      </c>
      <c r="C472" s="5">
        <v>45514</v>
      </c>
      <c r="D472">
        <v>227</v>
      </c>
      <c r="E472">
        <f>WEEKNUM(Append321[[#This Row],[Date]])</f>
        <v>32</v>
      </c>
    </row>
    <row r="473" spans="1:5">
      <c r="A473" t="s">
        <v>0</v>
      </c>
      <c r="B473" t="s">
        <v>100</v>
      </c>
      <c r="C473" s="5">
        <v>45515</v>
      </c>
      <c r="D473">
        <v>151</v>
      </c>
      <c r="E473">
        <f>WEEKNUM(Append321[[#This Row],[Date]])</f>
        <v>33</v>
      </c>
    </row>
    <row r="474" spans="1:5">
      <c r="A474" t="s">
        <v>0</v>
      </c>
      <c r="B474" t="s">
        <v>100</v>
      </c>
      <c r="C474" s="5">
        <v>45516</v>
      </c>
      <c r="D474">
        <v>223</v>
      </c>
      <c r="E474">
        <f>WEEKNUM(Append321[[#This Row],[Date]])</f>
        <v>33</v>
      </c>
    </row>
    <row r="475" spans="1:5">
      <c r="A475" t="s">
        <v>0</v>
      </c>
      <c r="B475" t="s">
        <v>100</v>
      </c>
      <c r="C475" s="5">
        <v>45517</v>
      </c>
      <c r="D475">
        <v>174</v>
      </c>
      <c r="E475">
        <f>WEEKNUM(Append321[[#This Row],[Date]])</f>
        <v>33</v>
      </c>
    </row>
    <row r="476" spans="1:5">
      <c r="A476" t="s">
        <v>0</v>
      </c>
      <c r="B476" t="s">
        <v>100</v>
      </c>
      <c r="C476" s="5">
        <v>45518</v>
      </c>
      <c r="D476">
        <v>168</v>
      </c>
      <c r="E476">
        <f>WEEKNUM(Append321[[#This Row],[Date]])</f>
        <v>33</v>
      </c>
    </row>
    <row r="477" spans="1:5">
      <c r="A477" t="s">
        <v>0</v>
      </c>
      <c r="B477" t="s">
        <v>100</v>
      </c>
      <c r="C477" s="5">
        <v>45519</v>
      </c>
      <c r="D477">
        <v>200</v>
      </c>
      <c r="E477">
        <f>WEEKNUM(Append321[[#This Row],[Date]])</f>
        <v>33</v>
      </c>
    </row>
    <row r="478" spans="1:5">
      <c r="A478" t="s">
        <v>0</v>
      </c>
      <c r="B478" t="s">
        <v>100</v>
      </c>
      <c r="C478" s="5">
        <v>45520</v>
      </c>
      <c r="D478">
        <v>182</v>
      </c>
      <c r="E478">
        <f>WEEKNUM(Append321[[#This Row],[Date]])</f>
        <v>33</v>
      </c>
    </row>
    <row r="479" spans="1:5">
      <c r="A479" t="s">
        <v>0</v>
      </c>
      <c r="B479" t="s">
        <v>100</v>
      </c>
      <c r="C479" s="5">
        <v>45521</v>
      </c>
      <c r="D479">
        <v>219</v>
      </c>
      <c r="E479">
        <f>WEEKNUM(Append321[[#This Row],[Date]])</f>
        <v>33</v>
      </c>
    </row>
    <row r="480" spans="1:5">
      <c r="A480" t="s">
        <v>0</v>
      </c>
      <c r="B480" t="s">
        <v>100</v>
      </c>
      <c r="C480" s="5">
        <v>45522</v>
      </c>
      <c r="D480">
        <v>155</v>
      </c>
      <c r="E480">
        <f>WEEKNUM(Append321[[#This Row],[Date]])</f>
        <v>34</v>
      </c>
    </row>
    <row r="481" spans="1:5">
      <c r="A481" t="s">
        <v>0</v>
      </c>
      <c r="B481" t="s">
        <v>100</v>
      </c>
      <c r="C481" s="5">
        <v>45523</v>
      </c>
      <c r="D481">
        <v>169</v>
      </c>
      <c r="E481">
        <f>WEEKNUM(Append321[[#This Row],[Date]])</f>
        <v>34</v>
      </c>
    </row>
    <row r="482" spans="1:5">
      <c r="A482" t="s">
        <v>0</v>
      </c>
      <c r="B482" t="s">
        <v>100</v>
      </c>
      <c r="C482" s="5">
        <v>45524</v>
      </c>
      <c r="D482">
        <v>198</v>
      </c>
      <c r="E482">
        <f>WEEKNUM(Append321[[#This Row],[Date]])</f>
        <v>34</v>
      </c>
    </row>
    <row r="483" spans="1:5">
      <c r="A483" t="s">
        <v>0</v>
      </c>
      <c r="B483" t="s">
        <v>100</v>
      </c>
      <c r="C483" s="5">
        <v>45525</v>
      </c>
      <c r="D483">
        <v>202</v>
      </c>
      <c r="E483">
        <f>WEEKNUM(Append321[[#This Row],[Date]])</f>
        <v>34</v>
      </c>
    </row>
    <row r="484" spans="1:5">
      <c r="A484" t="s">
        <v>0</v>
      </c>
      <c r="B484" t="s">
        <v>100</v>
      </c>
      <c r="C484" s="5">
        <v>45526</v>
      </c>
      <c r="D484">
        <v>199</v>
      </c>
      <c r="E484">
        <f>WEEKNUM(Append321[[#This Row],[Date]])</f>
        <v>34</v>
      </c>
    </row>
    <row r="485" spans="1:5">
      <c r="A485" t="s">
        <v>0</v>
      </c>
      <c r="B485" t="s">
        <v>100</v>
      </c>
      <c r="C485" s="5">
        <v>45527</v>
      </c>
      <c r="D485">
        <v>204</v>
      </c>
      <c r="E485">
        <f>WEEKNUM(Append321[[#This Row],[Date]])</f>
        <v>34</v>
      </c>
    </row>
    <row r="486" spans="1:5">
      <c r="A486" t="s">
        <v>0</v>
      </c>
      <c r="B486" t="s">
        <v>100</v>
      </c>
      <c r="C486" s="5">
        <v>45528</v>
      </c>
      <c r="D486">
        <v>214</v>
      </c>
      <c r="E486">
        <f>WEEKNUM(Append321[[#This Row],[Date]])</f>
        <v>34</v>
      </c>
    </row>
    <row r="487" spans="1:5">
      <c r="A487" t="s">
        <v>0</v>
      </c>
      <c r="B487" t="s">
        <v>100</v>
      </c>
      <c r="C487" s="5">
        <v>45529</v>
      </c>
      <c r="D487">
        <v>171</v>
      </c>
      <c r="E487">
        <f>WEEKNUM(Append321[[#This Row],[Date]])</f>
        <v>35</v>
      </c>
    </row>
    <row r="488" spans="1:5">
      <c r="A488" t="s">
        <v>0</v>
      </c>
      <c r="B488" t="s">
        <v>100</v>
      </c>
      <c r="C488" s="5">
        <v>45530</v>
      </c>
      <c r="D488">
        <v>164</v>
      </c>
      <c r="E488">
        <f>WEEKNUM(Append321[[#This Row],[Date]])</f>
        <v>35</v>
      </c>
    </row>
    <row r="489" spans="1:5">
      <c r="A489" t="s">
        <v>0</v>
      </c>
      <c r="B489" t="s">
        <v>100</v>
      </c>
      <c r="C489" s="5">
        <v>45531</v>
      </c>
      <c r="D489">
        <v>212</v>
      </c>
      <c r="E489">
        <f>WEEKNUM(Append321[[#This Row],[Date]])</f>
        <v>35</v>
      </c>
    </row>
    <row r="490" spans="1:5">
      <c r="A490" t="s">
        <v>0</v>
      </c>
      <c r="B490" t="s">
        <v>100</v>
      </c>
      <c r="C490" s="5">
        <v>45532</v>
      </c>
      <c r="D490">
        <v>238</v>
      </c>
      <c r="E490">
        <f>WEEKNUM(Append321[[#This Row],[Date]])</f>
        <v>35</v>
      </c>
    </row>
    <row r="491" spans="1:5">
      <c r="A491" t="s">
        <v>0</v>
      </c>
      <c r="B491" t="s">
        <v>100</v>
      </c>
      <c r="C491" s="5">
        <v>45533</v>
      </c>
      <c r="D491">
        <v>197</v>
      </c>
      <c r="E491">
        <f>WEEKNUM(Append321[[#This Row],[Date]])</f>
        <v>35</v>
      </c>
    </row>
    <row r="492" spans="1:5">
      <c r="A492" t="s">
        <v>0</v>
      </c>
      <c r="B492" t="s">
        <v>100</v>
      </c>
      <c r="C492" s="5">
        <v>45534</v>
      </c>
      <c r="D492">
        <v>278</v>
      </c>
      <c r="E492">
        <f>WEEKNUM(Append321[[#This Row],[Date]])</f>
        <v>35</v>
      </c>
    </row>
    <row r="493" spans="1:5">
      <c r="A493" t="s">
        <v>0</v>
      </c>
      <c r="B493" t="s">
        <v>100</v>
      </c>
      <c r="C493" s="5">
        <v>45535</v>
      </c>
      <c r="D493">
        <v>291</v>
      </c>
      <c r="E493">
        <f>WEEKNUM(Append321[[#This Row],[Date]])</f>
        <v>35</v>
      </c>
    </row>
    <row r="494" spans="1:5">
      <c r="A494" t="s">
        <v>0</v>
      </c>
      <c r="B494" t="s">
        <v>101</v>
      </c>
      <c r="C494" s="5">
        <v>45444</v>
      </c>
      <c r="D494">
        <v>93</v>
      </c>
      <c r="E494">
        <f>WEEKNUM(Append321[[#This Row],[Date]])</f>
        <v>22</v>
      </c>
    </row>
    <row r="495" spans="1:5">
      <c r="A495" t="s">
        <v>0</v>
      </c>
      <c r="B495" t="s">
        <v>101</v>
      </c>
      <c r="C495" s="5">
        <v>45445</v>
      </c>
      <c r="D495">
        <v>73</v>
      </c>
      <c r="E495">
        <f>WEEKNUM(Append321[[#This Row],[Date]])</f>
        <v>23</v>
      </c>
    </row>
    <row r="496" spans="1:5">
      <c r="A496" t="s">
        <v>0</v>
      </c>
      <c r="B496" t="s">
        <v>101</v>
      </c>
      <c r="C496" s="5">
        <v>45446</v>
      </c>
      <c r="D496">
        <v>73</v>
      </c>
      <c r="E496">
        <f>WEEKNUM(Append321[[#This Row],[Date]])</f>
        <v>23</v>
      </c>
    </row>
    <row r="497" spans="1:5">
      <c r="A497" t="s">
        <v>0</v>
      </c>
      <c r="B497" t="s">
        <v>101</v>
      </c>
      <c r="C497" s="5">
        <v>45447</v>
      </c>
      <c r="D497">
        <v>64</v>
      </c>
      <c r="E497">
        <f>WEEKNUM(Append321[[#This Row],[Date]])</f>
        <v>23</v>
      </c>
    </row>
    <row r="498" spans="1:5">
      <c r="A498" t="s">
        <v>0</v>
      </c>
      <c r="B498" t="s">
        <v>101</v>
      </c>
      <c r="C498" s="5">
        <v>45448</v>
      </c>
      <c r="D498">
        <v>61</v>
      </c>
      <c r="E498">
        <f>WEEKNUM(Append321[[#This Row],[Date]])</f>
        <v>23</v>
      </c>
    </row>
    <row r="499" spans="1:5">
      <c r="A499" t="s">
        <v>0</v>
      </c>
      <c r="B499" t="s">
        <v>101</v>
      </c>
      <c r="C499" s="5">
        <v>45449</v>
      </c>
      <c r="D499">
        <v>71</v>
      </c>
      <c r="E499">
        <f>WEEKNUM(Append321[[#This Row],[Date]])</f>
        <v>23</v>
      </c>
    </row>
    <row r="500" spans="1:5">
      <c r="A500" t="s">
        <v>0</v>
      </c>
      <c r="B500" t="s">
        <v>101</v>
      </c>
      <c r="C500" s="5">
        <v>45450</v>
      </c>
      <c r="D500">
        <v>70</v>
      </c>
      <c r="E500">
        <f>WEEKNUM(Append321[[#This Row],[Date]])</f>
        <v>23</v>
      </c>
    </row>
    <row r="501" spans="1:5">
      <c r="A501" t="s">
        <v>0</v>
      </c>
      <c r="B501" t="s">
        <v>101</v>
      </c>
      <c r="C501" s="5">
        <v>45451</v>
      </c>
      <c r="D501">
        <v>82</v>
      </c>
      <c r="E501">
        <f>WEEKNUM(Append321[[#This Row],[Date]])</f>
        <v>23</v>
      </c>
    </row>
    <row r="502" spans="1:5">
      <c r="A502" t="s">
        <v>0</v>
      </c>
      <c r="B502" t="s">
        <v>101</v>
      </c>
      <c r="C502" s="5">
        <v>45452</v>
      </c>
      <c r="D502">
        <v>66</v>
      </c>
      <c r="E502">
        <f>WEEKNUM(Append321[[#This Row],[Date]])</f>
        <v>24</v>
      </c>
    </row>
    <row r="503" spans="1:5">
      <c r="A503" t="s">
        <v>0</v>
      </c>
      <c r="B503" t="s">
        <v>101</v>
      </c>
      <c r="C503" s="5">
        <v>45453</v>
      </c>
      <c r="D503">
        <v>65</v>
      </c>
      <c r="E503">
        <f>WEEKNUM(Append321[[#This Row],[Date]])</f>
        <v>24</v>
      </c>
    </row>
    <row r="504" spans="1:5">
      <c r="A504" t="s">
        <v>0</v>
      </c>
      <c r="B504" t="s">
        <v>101</v>
      </c>
      <c r="C504" s="5">
        <v>45454</v>
      </c>
      <c r="D504">
        <v>73</v>
      </c>
      <c r="E504">
        <f>WEEKNUM(Append321[[#This Row],[Date]])</f>
        <v>24</v>
      </c>
    </row>
    <row r="505" spans="1:5">
      <c r="A505" t="s">
        <v>0</v>
      </c>
      <c r="B505" t="s">
        <v>101</v>
      </c>
      <c r="C505" s="5">
        <v>45455</v>
      </c>
      <c r="D505">
        <v>51</v>
      </c>
      <c r="E505">
        <f>WEEKNUM(Append321[[#This Row],[Date]])</f>
        <v>24</v>
      </c>
    </row>
    <row r="506" spans="1:5">
      <c r="A506" t="s">
        <v>0</v>
      </c>
      <c r="B506" t="s">
        <v>101</v>
      </c>
      <c r="C506" s="5">
        <v>45456</v>
      </c>
      <c r="D506">
        <v>73</v>
      </c>
      <c r="E506">
        <f>WEEKNUM(Append321[[#This Row],[Date]])</f>
        <v>24</v>
      </c>
    </row>
    <row r="507" spans="1:5">
      <c r="A507" t="s">
        <v>0</v>
      </c>
      <c r="B507" t="s">
        <v>101</v>
      </c>
      <c r="C507" s="5">
        <v>45457</v>
      </c>
      <c r="D507">
        <v>81</v>
      </c>
      <c r="E507">
        <f>WEEKNUM(Append321[[#This Row],[Date]])</f>
        <v>24</v>
      </c>
    </row>
    <row r="508" spans="1:5">
      <c r="A508" t="s">
        <v>0</v>
      </c>
      <c r="B508" t="s">
        <v>101</v>
      </c>
      <c r="C508" s="5">
        <v>45458</v>
      </c>
      <c r="D508">
        <v>80</v>
      </c>
      <c r="E508">
        <f>WEEKNUM(Append321[[#This Row],[Date]])</f>
        <v>24</v>
      </c>
    </row>
    <row r="509" spans="1:5">
      <c r="A509" t="s">
        <v>0</v>
      </c>
      <c r="B509" t="s">
        <v>101</v>
      </c>
      <c r="C509" s="5">
        <v>45459</v>
      </c>
      <c r="D509">
        <v>71</v>
      </c>
      <c r="E509">
        <f>WEEKNUM(Append321[[#This Row],[Date]])</f>
        <v>25</v>
      </c>
    </row>
    <row r="510" spans="1:5">
      <c r="A510" t="s">
        <v>0</v>
      </c>
      <c r="B510" t="s">
        <v>101</v>
      </c>
      <c r="C510" s="5">
        <v>45460</v>
      </c>
      <c r="D510">
        <v>78</v>
      </c>
      <c r="E510">
        <f>WEEKNUM(Append321[[#This Row],[Date]])</f>
        <v>25</v>
      </c>
    </row>
    <row r="511" spans="1:5">
      <c r="A511" t="s">
        <v>0</v>
      </c>
      <c r="B511" t="s">
        <v>101</v>
      </c>
      <c r="C511" s="5">
        <v>45461</v>
      </c>
      <c r="D511">
        <v>77</v>
      </c>
      <c r="E511">
        <f>WEEKNUM(Append321[[#This Row],[Date]])</f>
        <v>25</v>
      </c>
    </row>
    <row r="512" spans="1:5">
      <c r="A512" t="s">
        <v>0</v>
      </c>
      <c r="B512" t="s">
        <v>101</v>
      </c>
      <c r="C512" s="5">
        <v>45462</v>
      </c>
      <c r="D512">
        <v>49</v>
      </c>
      <c r="E512">
        <f>WEEKNUM(Append321[[#This Row],[Date]])</f>
        <v>25</v>
      </c>
    </row>
    <row r="513" spans="1:5">
      <c r="A513" t="s">
        <v>0</v>
      </c>
      <c r="B513" t="s">
        <v>101</v>
      </c>
      <c r="C513" s="5">
        <v>45463</v>
      </c>
      <c r="D513">
        <v>69</v>
      </c>
      <c r="E513">
        <f>WEEKNUM(Append321[[#This Row],[Date]])</f>
        <v>25</v>
      </c>
    </row>
    <row r="514" spans="1:5">
      <c r="A514" t="s">
        <v>0</v>
      </c>
      <c r="B514" t="s">
        <v>101</v>
      </c>
      <c r="C514" s="5">
        <v>45464</v>
      </c>
      <c r="D514">
        <v>77</v>
      </c>
      <c r="E514">
        <f>WEEKNUM(Append321[[#This Row],[Date]])</f>
        <v>25</v>
      </c>
    </row>
    <row r="515" spans="1:5">
      <c r="A515" t="s">
        <v>0</v>
      </c>
      <c r="B515" t="s">
        <v>101</v>
      </c>
      <c r="C515" s="5">
        <v>45465</v>
      </c>
      <c r="D515">
        <v>94</v>
      </c>
      <c r="E515">
        <f>WEEKNUM(Append321[[#This Row],[Date]])</f>
        <v>25</v>
      </c>
    </row>
    <row r="516" spans="1:5">
      <c r="A516" t="s">
        <v>0</v>
      </c>
      <c r="B516" t="s">
        <v>101</v>
      </c>
      <c r="C516" s="5">
        <v>45466</v>
      </c>
      <c r="D516">
        <v>60</v>
      </c>
      <c r="E516">
        <f>WEEKNUM(Append321[[#This Row],[Date]])</f>
        <v>26</v>
      </c>
    </row>
    <row r="517" spans="1:5">
      <c r="A517" t="s">
        <v>0</v>
      </c>
      <c r="B517" t="s">
        <v>101</v>
      </c>
      <c r="C517" s="5">
        <v>45467</v>
      </c>
      <c r="D517">
        <v>80</v>
      </c>
      <c r="E517">
        <f>WEEKNUM(Append321[[#This Row],[Date]])</f>
        <v>26</v>
      </c>
    </row>
    <row r="518" spans="1:5">
      <c r="A518" t="s">
        <v>0</v>
      </c>
      <c r="B518" t="s">
        <v>101</v>
      </c>
      <c r="C518" s="5">
        <v>45468</v>
      </c>
      <c r="D518">
        <v>55</v>
      </c>
      <c r="E518">
        <f>WEEKNUM(Append321[[#This Row],[Date]])</f>
        <v>26</v>
      </c>
    </row>
    <row r="519" spans="1:5">
      <c r="A519" t="s">
        <v>0</v>
      </c>
      <c r="B519" t="s">
        <v>101</v>
      </c>
      <c r="C519" s="5">
        <v>45469</v>
      </c>
      <c r="D519">
        <v>71</v>
      </c>
      <c r="E519">
        <f>WEEKNUM(Append321[[#This Row],[Date]])</f>
        <v>26</v>
      </c>
    </row>
    <row r="520" spans="1:5">
      <c r="A520" t="s">
        <v>0</v>
      </c>
      <c r="B520" t="s">
        <v>101</v>
      </c>
      <c r="C520" s="5">
        <v>45470</v>
      </c>
      <c r="D520">
        <v>81</v>
      </c>
      <c r="E520">
        <f>WEEKNUM(Append321[[#This Row],[Date]])</f>
        <v>26</v>
      </c>
    </row>
    <row r="521" spans="1:5">
      <c r="A521" t="s">
        <v>0</v>
      </c>
      <c r="B521" t="s">
        <v>101</v>
      </c>
      <c r="C521" s="5">
        <v>45471</v>
      </c>
      <c r="D521">
        <v>96</v>
      </c>
      <c r="E521">
        <f>WEEKNUM(Append321[[#This Row],[Date]])</f>
        <v>26</v>
      </c>
    </row>
    <row r="522" spans="1:5">
      <c r="A522" t="s">
        <v>0</v>
      </c>
      <c r="B522" t="s">
        <v>101</v>
      </c>
      <c r="C522" s="5">
        <v>45472</v>
      </c>
      <c r="D522">
        <v>91</v>
      </c>
      <c r="E522">
        <f>WEEKNUM(Append321[[#This Row],[Date]])</f>
        <v>26</v>
      </c>
    </row>
    <row r="523" spans="1:5">
      <c r="A523" t="s">
        <v>0</v>
      </c>
      <c r="B523" t="s">
        <v>101</v>
      </c>
      <c r="C523" s="5">
        <v>45473</v>
      </c>
      <c r="D523">
        <v>97</v>
      </c>
      <c r="E523">
        <f>WEEKNUM(Append321[[#This Row],[Date]])</f>
        <v>27</v>
      </c>
    </row>
    <row r="524" spans="1:5">
      <c r="A524" t="s">
        <v>0</v>
      </c>
      <c r="B524" t="s">
        <v>101</v>
      </c>
      <c r="C524" s="5">
        <v>45474</v>
      </c>
      <c r="D524">
        <v>89</v>
      </c>
      <c r="E524">
        <f>WEEKNUM(Append321[[#This Row],[Date]])</f>
        <v>27</v>
      </c>
    </row>
    <row r="525" spans="1:5">
      <c r="A525" t="s">
        <v>0</v>
      </c>
      <c r="B525" t="s">
        <v>101</v>
      </c>
      <c r="C525" s="5">
        <v>45475</v>
      </c>
      <c r="D525">
        <v>73</v>
      </c>
      <c r="E525">
        <f>WEEKNUM(Append321[[#This Row],[Date]])</f>
        <v>27</v>
      </c>
    </row>
    <row r="526" spans="1:5">
      <c r="A526" t="s">
        <v>0</v>
      </c>
      <c r="B526" t="s">
        <v>101</v>
      </c>
      <c r="C526" s="5">
        <v>45476</v>
      </c>
      <c r="D526">
        <v>97</v>
      </c>
      <c r="E526">
        <f>WEEKNUM(Append321[[#This Row],[Date]])</f>
        <v>27</v>
      </c>
    </row>
    <row r="527" spans="1:5">
      <c r="A527" t="s">
        <v>0</v>
      </c>
      <c r="B527" t="s">
        <v>101</v>
      </c>
      <c r="C527" s="5">
        <v>45477</v>
      </c>
      <c r="D527">
        <v>92</v>
      </c>
      <c r="E527">
        <f>WEEKNUM(Append321[[#This Row],[Date]])</f>
        <v>27</v>
      </c>
    </row>
    <row r="528" spans="1:5">
      <c r="A528" t="s">
        <v>0</v>
      </c>
      <c r="B528" t="s">
        <v>101</v>
      </c>
      <c r="C528" s="5">
        <v>45478</v>
      </c>
      <c r="D528">
        <v>87</v>
      </c>
      <c r="E528">
        <f>WEEKNUM(Append321[[#This Row],[Date]])</f>
        <v>27</v>
      </c>
    </row>
    <row r="529" spans="1:5">
      <c r="A529" t="s">
        <v>0</v>
      </c>
      <c r="B529" t="s">
        <v>101</v>
      </c>
      <c r="C529" s="5">
        <v>45479</v>
      </c>
      <c r="D529">
        <v>101</v>
      </c>
      <c r="E529">
        <f>WEEKNUM(Append321[[#This Row],[Date]])</f>
        <v>27</v>
      </c>
    </row>
    <row r="530" spans="1:5">
      <c r="A530" t="s">
        <v>0</v>
      </c>
      <c r="B530" t="s">
        <v>101</v>
      </c>
      <c r="C530" s="5">
        <v>45480</v>
      </c>
      <c r="D530">
        <v>79</v>
      </c>
      <c r="E530">
        <f>WEEKNUM(Append321[[#This Row],[Date]])</f>
        <v>28</v>
      </c>
    </row>
    <row r="531" spans="1:5">
      <c r="A531" t="s">
        <v>0</v>
      </c>
      <c r="B531" t="s">
        <v>101</v>
      </c>
      <c r="C531" s="5">
        <v>45481</v>
      </c>
      <c r="D531">
        <v>80</v>
      </c>
      <c r="E531">
        <f>WEEKNUM(Append321[[#This Row],[Date]])</f>
        <v>28</v>
      </c>
    </row>
    <row r="532" spans="1:5">
      <c r="A532" t="s">
        <v>0</v>
      </c>
      <c r="B532" t="s">
        <v>101</v>
      </c>
      <c r="C532" s="5">
        <v>45482</v>
      </c>
      <c r="D532">
        <v>81</v>
      </c>
      <c r="E532">
        <f>WEEKNUM(Append321[[#This Row],[Date]])</f>
        <v>28</v>
      </c>
    </row>
    <row r="533" spans="1:5">
      <c r="A533" t="s">
        <v>0</v>
      </c>
      <c r="B533" t="s">
        <v>101</v>
      </c>
      <c r="C533" s="5">
        <v>45483</v>
      </c>
      <c r="D533">
        <v>86</v>
      </c>
      <c r="E533">
        <f>WEEKNUM(Append321[[#This Row],[Date]])</f>
        <v>28</v>
      </c>
    </row>
    <row r="534" spans="1:5">
      <c r="A534" t="s">
        <v>0</v>
      </c>
      <c r="B534" t="s">
        <v>101</v>
      </c>
      <c r="C534" s="5">
        <v>45484</v>
      </c>
      <c r="D534">
        <v>94</v>
      </c>
      <c r="E534">
        <f>WEEKNUM(Append321[[#This Row],[Date]])</f>
        <v>28</v>
      </c>
    </row>
    <row r="535" spans="1:5">
      <c r="A535" t="s">
        <v>0</v>
      </c>
      <c r="B535" t="s">
        <v>101</v>
      </c>
      <c r="C535" s="5">
        <v>45485</v>
      </c>
      <c r="D535">
        <v>99</v>
      </c>
      <c r="E535">
        <f>WEEKNUM(Append321[[#This Row],[Date]])</f>
        <v>28</v>
      </c>
    </row>
    <row r="536" spans="1:5">
      <c r="A536" t="s">
        <v>0</v>
      </c>
      <c r="B536" t="s">
        <v>101</v>
      </c>
      <c r="C536" s="5">
        <v>45486</v>
      </c>
      <c r="D536">
        <v>121</v>
      </c>
      <c r="E536">
        <f>WEEKNUM(Append321[[#This Row],[Date]])</f>
        <v>28</v>
      </c>
    </row>
    <row r="537" spans="1:5">
      <c r="A537" t="s">
        <v>0</v>
      </c>
      <c r="B537" t="s">
        <v>101</v>
      </c>
      <c r="C537" s="5">
        <v>45487</v>
      </c>
      <c r="D537">
        <v>108</v>
      </c>
      <c r="E537">
        <f>WEEKNUM(Append321[[#This Row],[Date]])</f>
        <v>29</v>
      </c>
    </row>
    <row r="538" spans="1:5">
      <c r="A538" t="s">
        <v>0</v>
      </c>
      <c r="B538" t="s">
        <v>101</v>
      </c>
      <c r="C538" s="5">
        <v>45488</v>
      </c>
      <c r="D538">
        <v>102</v>
      </c>
      <c r="E538">
        <f>WEEKNUM(Append321[[#This Row],[Date]])</f>
        <v>29</v>
      </c>
    </row>
    <row r="539" spans="1:5">
      <c r="A539" t="s">
        <v>0</v>
      </c>
      <c r="B539" t="s">
        <v>101</v>
      </c>
      <c r="C539" s="5">
        <v>45489</v>
      </c>
      <c r="D539">
        <v>96</v>
      </c>
      <c r="E539">
        <f>WEEKNUM(Append321[[#This Row],[Date]])</f>
        <v>29</v>
      </c>
    </row>
    <row r="540" spans="1:5">
      <c r="A540" t="s">
        <v>0</v>
      </c>
      <c r="B540" t="s">
        <v>101</v>
      </c>
      <c r="C540" s="5">
        <v>45490</v>
      </c>
      <c r="D540">
        <v>121</v>
      </c>
      <c r="E540">
        <f>WEEKNUM(Append321[[#This Row],[Date]])</f>
        <v>29</v>
      </c>
    </row>
    <row r="541" spans="1:5">
      <c r="A541" t="s">
        <v>0</v>
      </c>
      <c r="B541" t="s">
        <v>101</v>
      </c>
      <c r="C541" s="5">
        <v>45491</v>
      </c>
      <c r="D541">
        <v>104</v>
      </c>
      <c r="E541">
        <f>WEEKNUM(Append321[[#This Row],[Date]])</f>
        <v>29</v>
      </c>
    </row>
    <row r="542" spans="1:5">
      <c r="A542" t="s">
        <v>0</v>
      </c>
      <c r="B542" t="s">
        <v>101</v>
      </c>
      <c r="C542" s="5">
        <v>45492</v>
      </c>
      <c r="D542">
        <v>109</v>
      </c>
      <c r="E542">
        <f>WEEKNUM(Append321[[#This Row],[Date]])</f>
        <v>29</v>
      </c>
    </row>
    <row r="543" spans="1:5">
      <c r="A543" t="s">
        <v>0</v>
      </c>
      <c r="B543" t="s">
        <v>101</v>
      </c>
      <c r="C543" s="5">
        <v>45493</v>
      </c>
      <c r="D543">
        <v>119</v>
      </c>
      <c r="E543">
        <f>WEEKNUM(Append321[[#This Row],[Date]])</f>
        <v>29</v>
      </c>
    </row>
    <row r="544" spans="1:5">
      <c r="A544" t="s">
        <v>0</v>
      </c>
      <c r="B544" t="s">
        <v>101</v>
      </c>
      <c r="C544" s="5">
        <v>45494</v>
      </c>
      <c r="D544">
        <v>96</v>
      </c>
      <c r="E544">
        <f>WEEKNUM(Append321[[#This Row],[Date]])</f>
        <v>30</v>
      </c>
    </row>
    <row r="545" spans="1:5">
      <c r="A545" t="s">
        <v>0</v>
      </c>
      <c r="B545" t="s">
        <v>101</v>
      </c>
      <c r="C545" s="5">
        <v>45495</v>
      </c>
      <c r="D545">
        <v>96</v>
      </c>
      <c r="E545">
        <f>WEEKNUM(Append321[[#This Row],[Date]])</f>
        <v>30</v>
      </c>
    </row>
    <row r="546" spans="1:5">
      <c r="A546" t="s">
        <v>0</v>
      </c>
      <c r="B546" t="s">
        <v>101</v>
      </c>
      <c r="C546" s="5">
        <v>45496</v>
      </c>
      <c r="D546">
        <v>96</v>
      </c>
      <c r="E546">
        <f>WEEKNUM(Append321[[#This Row],[Date]])</f>
        <v>30</v>
      </c>
    </row>
    <row r="547" spans="1:5">
      <c r="A547" t="s">
        <v>0</v>
      </c>
      <c r="B547" t="s">
        <v>101</v>
      </c>
      <c r="C547" s="5">
        <v>45497</v>
      </c>
      <c r="D547">
        <v>96</v>
      </c>
      <c r="E547">
        <f>WEEKNUM(Append321[[#This Row],[Date]])</f>
        <v>30</v>
      </c>
    </row>
    <row r="548" spans="1:5">
      <c r="A548" t="s">
        <v>0</v>
      </c>
      <c r="B548" t="s">
        <v>101</v>
      </c>
      <c r="C548" s="5">
        <v>45498</v>
      </c>
      <c r="D548">
        <v>95</v>
      </c>
      <c r="E548">
        <f>WEEKNUM(Append321[[#This Row],[Date]])</f>
        <v>30</v>
      </c>
    </row>
    <row r="549" spans="1:5">
      <c r="A549" t="s">
        <v>0</v>
      </c>
      <c r="B549" t="s">
        <v>101</v>
      </c>
      <c r="C549" s="5">
        <v>45499</v>
      </c>
      <c r="D549">
        <v>112</v>
      </c>
      <c r="E549">
        <f>WEEKNUM(Append321[[#This Row],[Date]])</f>
        <v>30</v>
      </c>
    </row>
    <row r="550" spans="1:5">
      <c r="A550" t="s">
        <v>0</v>
      </c>
      <c r="B550" t="s">
        <v>101</v>
      </c>
      <c r="C550" s="5">
        <v>45500</v>
      </c>
      <c r="D550">
        <v>110</v>
      </c>
      <c r="E550">
        <f>WEEKNUM(Append321[[#This Row],[Date]])</f>
        <v>30</v>
      </c>
    </row>
    <row r="551" spans="1:5">
      <c r="A551" t="s">
        <v>0</v>
      </c>
      <c r="B551" t="s">
        <v>101</v>
      </c>
      <c r="C551" s="5">
        <v>45501</v>
      </c>
      <c r="D551">
        <v>107</v>
      </c>
      <c r="E551">
        <f>WEEKNUM(Append321[[#This Row],[Date]])</f>
        <v>31</v>
      </c>
    </row>
    <row r="552" spans="1:5">
      <c r="A552" t="s">
        <v>0</v>
      </c>
      <c r="B552" t="s">
        <v>101</v>
      </c>
      <c r="C552" s="5">
        <v>45502</v>
      </c>
      <c r="D552">
        <v>111</v>
      </c>
      <c r="E552">
        <f>WEEKNUM(Append321[[#This Row],[Date]])</f>
        <v>31</v>
      </c>
    </row>
    <row r="553" spans="1:5">
      <c r="A553" t="s">
        <v>0</v>
      </c>
      <c r="B553" t="s">
        <v>101</v>
      </c>
      <c r="C553" s="5">
        <v>45503</v>
      </c>
      <c r="D553">
        <v>90</v>
      </c>
      <c r="E553">
        <f>WEEKNUM(Append321[[#This Row],[Date]])</f>
        <v>31</v>
      </c>
    </row>
    <row r="554" spans="1:5">
      <c r="A554" t="s">
        <v>0</v>
      </c>
      <c r="B554" t="s">
        <v>101</v>
      </c>
      <c r="C554" s="5">
        <v>45504</v>
      </c>
      <c r="D554">
        <v>110</v>
      </c>
      <c r="E554">
        <f>WEEKNUM(Append321[[#This Row],[Date]])</f>
        <v>31</v>
      </c>
    </row>
    <row r="555" spans="1:5">
      <c r="A555" t="s">
        <v>0</v>
      </c>
      <c r="B555" t="s">
        <v>101</v>
      </c>
      <c r="C555" s="5">
        <v>45505</v>
      </c>
      <c r="D555">
        <v>135</v>
      </c>
      <c r="E555">
        <f>WEEKNUM(Append321[[#This Row],[Date]])</f>
        <v>31</v>
      </c>
    </row>
    <row r="556" spans="1:5">
      <c r="A556" t="s">
        <v>0</v>
      </c>
      <c r="B556" t="s">
        <v>101</v>
      </c>
      <c r="C556" s="5">
        <v>45506</v>
      </c>
      <c r="D556">
        <v>148</v>
      </c>
      <c r="E556">
        <f>WEEKNUM(Append321[[#This Row],[Date]])</f>
        <v>31</v>
      </c>
    </row>
    <row r="557" spans="1:5">
      <c r="A557" t="s">
        <v>0</v>
      </c>
      <c r="B557" t="s">
        <v>101</v>
      </c>
      <c r="C557" s="5">
        <v>45507</v>
      </c>
      <c r="D557">
        <v>166</v>
      </c>
      <c r="E557">
        <f>WEEKNUM(Append321[[#This Row],[Date]])</f>
        <v>31</v>
      </c>
    </row>
    <row r="558" spans="1:5">
      <c r="A558" t="s">
        <v>0</v>
      </c>
      <c r="B558" t="s">
        <v>101</v>
      </c>
      <c r="C558" s="5">
        <v>45508</v>
      </c>
      <c r="D558">
        <v>126</v>
      </c>
      <c r="E558">
        <f>WEEKNUM(Append321[[#This Row],[Date]])</f>
        <v>32</v>
      </c>
    </row>
    <row r="559" spans="1:5">
      <c r="A559" t="s">
        <v>0</v>
      </c>
      <c r="B559" t="s">
        <v>101</v>
      </c>
      <c r="C559" s="5">
        <v>45509</v>
      </c>
      <c r="D559">
        <v>162</v>
      </c>
      <c r="E559">
        <f>WEEKNUM(Append321[[#This Row],[Date]])</f>
        <v>32</v>
      </c>
    </row>
    <row r="560" spans="1:5">
      <c r="A560" t="s">
        <v>0</v>
      </c>
      <c r="B560" t="s">
        <v>101</v>
      </c>
      <c r="C560" s="5">
        <v>45510</v>
      </c>
      <c r="D560">
        <v>145</v>
      </c>
      <c r="E560">
        <f>WEEKNUM(Append321[[#This Row],[Date]])</f>
        <v>32</v>
      </c>
    </row>
    <row r="561" spans="1:5">
      <c r="A561" t="s">
        <v>0</v>
      </c>
      <c r="B561" t="s">
        <v>101</v>
      </c>
      <c r="C561" s="5">
        <v>45511</v>
      </c>
      <c r="D561">
        <v>154</v>
      </c>
      <c r="E561">
        <f>WEEKNUM(Append321[[#This Row],[Date]])</f>
        <v>32</v>
      </c>
    </row>
    <row r="562" spans="1:5">
      <c r="A562" t="s">
        <v>0</v>
      </c>
      <c r="B562" t="s">
        <v>101</v>
      </c>
      <c r="C562" s="5">
        <v>45512</v>
      </c>
      <c r="D562">
        <v>137</v>
      </c>
      <c r="E562">
        <f>WEEKNUM(Append321[[#This Row],[Date]])</f>
        <v>32</v>
      </c>
    </row>
    <row r="563" spans="1:5">
      <c r="A563" t="s">
        <v>0</v>
      </c>
      <c r="B563" t="s">
        <v>101</v>
      </c>
      <c r="C563" s="5">
        <v>45513</v>
      </c>
      <c r="D563">
        <v>140</v>
      </c>
      <c r="E563">
        <f>WEEKNUM(Append321[[#This Row],[Date]])</f>
        <v>32</v>
      </c>
    </row>
    <row r="564" spans="1:5">
      <c r="A564" t="s">
        <v>0</v>
      </c>
      <c r="B564" t="s">
        <v>101</v>
      </c>
      <c r="C564" s="5">
        <v>45514</v>
      </c>
      <c r="D564">
        <v>157</v>
      </c>
      <c r="E564">
        <f>WEEKNUM(Append321[[#This Row],[Date]])</f>
        <v>32</v>
      </c>
    </row>
    <row r="565" spans="1:5">
      <c r="A565" t="s">
        <v>0</v>
      </c>
      <c r="B565" t="s">
        <v>101</v>
      </c>
      <c r="C565" s="5">
        <v>45515</v>
      </c>
      <c r="D565">
        <v>136</v>
      </c>
      <c r="E565">
        <f>WEEKNUM(Append321[[#This Row],[Date]])</f>
        <v>33</v>
      </c>
    </row>
    <row r="566" spans="1:5">
      <c r="A566" t="s">
        <v>0</v>
      </c>
      <c r="B566" t="s">
        <v>101</v>
      </c>
      <c r="C566" s="5">
        <v>45516</v>
      </c>
      <c r="D566">
        <v>127</v>
      </c>
      <c r="E566">
        <f>WEEKNUM(Append321[[#This Row],[Date]])</f>
        <v>33</v>
      </c>
    </row>
    <row r="567" spans="1:5">
      <c r="A567" t="s">
        <v>0</v>
      </c>
      <c r="B567" t="s">
        <v>101</v>
      </c>
      <c r="C567" s="5">
        <v>45517</v>
      </c>
      <c r="D567">
        <v>130</v>
      </c>
      <c r="E567">
        <f>WEEKNUM(Append321[[#This Row],[Date]])</f>
        <v>33</v>
      </c>
    </row>
    <row r="568" spans="1:5">
      <c r="A568" t="s">
        <v>0</v>
      </c>
      <c r="B568" t="s">
        <v>101</v>
      </c>
      <c r="C568" s="5">
        <v>45518</v>
      </c>
      <c r="D568">
        <v>132</v>
      </c>
      <c r="E568">
        <f>WEEKNUM(Append321[[#This Row],[Date]])</f>
        <v>33</v>
      </c>
    </row>
    <row r="569" spans="1:5">
      <c r="A569" t="s">
        <v>0</v>
      </c>
      <c r="B569" t="s">
        <v>101</v>
      </c>
      <c r="C569" s="5">
        <v>45519</v>
      </c>
      <c r="D569">
        <v>155</v>
      </c>
      <c r="E569">
        <f>WEEKNUM(Append321[[#This Row],[Date]])</f>
        <v>33</v>
      </c>
    </row>
    <row r="570" spans="1:5">
      <c r="A570" t="s">
        <v>0</v>
      </c>
      <c r="B570" t="s">
        <v>101</v>
      </c>
      <c r="C570" s="5">
        <v>45520</v>
      </c>
      <c r="D570">
        <v>152</v>
      </c>
      <c r="E570">
        <f>WEEKNUM(Append321[[#This Row],[Date]])</f>
        <v>33</v>
      </c>
    </row>
    <row r="571" spans="1:5">
      <c r="A571" t="s">
        <v>0</v>
      </c>
      <c r="B571" t="s">
        <v>101</v>
      </c>
      <c r="C571" s="5">
        <v>45521</v>
      </c>
      <c r="D571">
        <v>176</v>
      </c>
      <c r="E571">
        <f>WEEKNUM(Append321[[#This Row],[Date]])</f>
        <v>33</v>
      </c>
    </row>
    <row r="572" spans="1:5">
      <c r="A572" t="s">
        <v>0</v>
      </c>
      <c r="B572" t="s">
        <v>101</v>
      </c>
      <c r="C572" s="5">
        <v>45522</v>
      </c>
      <c r="D572">
        <v>160</v>
      </c>
      <c r="E572">
        <f>WEEKNUM(Append321[[#This Row],[Date]])</f>
        <v>34</v>
      </c>
    </row>
    <row r="573" spans="1:5">
      <c r="A573" t="s">
        <v>0</v>
      </c>
      <c r="B573" t="s">
        <v>101</v>
      </c>
      <c r="C573" s="5">
        <v>45523</v>
      </c>
      <c r="D573">
        <v>164</v>
      </c>
      <c r="E573">
        <f>WEEKNUM(Append321[[#This Row],[Date]])</f>
        <v>34</v>
      </c>
    </row>
    <row r="574" spans="1:5">
      <c r="A574" t="s">
        <v>0</v>
      </c>
      <c r="B574" t="s">
        <v>101</v>
      </c>
      <c r="C574" s="5">
        <v>45524</v>
      </c>
      <c r="D574">
        <v>154</v>
      </c>
      <c r="E574">
        <f>WEEKNUM(Append321[[#This Row],[Date]])</f>
        <v>34</v>
      </c>
    </row>
    <row r="575" spans="1:5">
      <c r="A575" t="s">
        <v>0</v>
      </c>
      <c r="B575" t="s">
        <v>101</v>
      </c>
      <c r="C575" s="5">
        <v>45525</v>
      </c>
      <c r="D575">
        <v>144</v>
      </c>
      <c r="E575">
        <f>WEEKNUM(Append321[[#This Row],[Date]])</f>
        <v>34</v>
      </c>
    </row>
    <row r="576" spans="1:5">
      <c r="A576" t="s">
        <v>0</v>
      </c>
      <c r="B576" t="s">
        <v>101</v>
      </c>
      <c r="C576" s="5">
        <v>45526</v>
      </c>
      <c r="D576">
        <v>147</v>
      </c>
      <c r="E576">
        <f>WEEKNUM(Append321[[#This Row],[Date]])</f>
        <v>34</v>
      </c>
    </row>
    <row r="577" spans="1:5">
      <c r="A577" t="s">
        <v>0</v>
      </c>
      <c r="B577" t="s">
        <v>101</v>
      </c>
      <c r="C577" s="5">
        <v>45527</v>
      </c>
      <c r="D577">
        <v>145</v>
      </c>
      <c r="E577">
        <f>WEEKNUM(Append321[[#This Row],[Date]])</f>
        <v>34</v>
      </c>
    </row>
    <row r="578" spans="1:5">
      <c r="A578" t="s">
        <v>0</v>
      </c>
      <c r="B578" t="s">
        <v>101</v>
      </c>
      <c r="C578" s="5">
        <v>45528</v>
      </c>
      <c r="D578">
        <v>175</v>
      </c>
      <c r="E578">
        <f>WEEKNUM(Append321[[#This Row],[Date]])</f>
        <v>34</v>
      </c>
    </row>
    <row r="579" spans="1:5">
      <c r="A579" t="s">
        <v>0</v>
      </c>
      <c r="B579" t="s">
        <v>101</v>
      </c>
      <c r="C579" s="5">
        <v>45529</v>
      </c>
      <c r="D579">
        <v>120</v>
      </c>
      <c r="E579">
        <f>WEEKNUM(Append321[[#This Row],[Date]])</f>
        <v>35</v>
      </c>
    </row>
    <row r="580" spans="1:5">
      <c r="A580" t="s">
        <v>0</v>
      </c>
      <c r="B580" t="s">
        <v>101</v>
      </c>
      <c r="C580" s="5">
        <v>45530</v>
      </c>
      <c r="D580">
        <v>141</v>
      </c>
      <c r="E580">
        <f>WEEKNUM(Append321[[#This Row],[Date]])</f>
        <v>35</v>
      </c>
    </row>
    <row r="581" spans="1:5">
      <c r="A581" t="s">
        <v>0</v>
      </c>
      <c r="B581" t="s">
        <v>101</v>
      </c>
      <c r="C581" s="5">
        <v>45531</v>
      </c>
      <c r="D581">
        <v>158</v>
      </c>
      <c r="E581">
        <f>WEEKNUM(Append321[[#This Row],[Date]])</f>
        <v>35</v>
      </c>
    </row>
    <row r="582" spans="1:5">
      <c r="A582" t="s">
        <v>0</v>
      </c>
      <c r="B582" t="s">
        <v>101</v>
      </c>
      <c r="C582" s="5">
        <v>45532</v>
      </c>
      <c r="D582">
        <v>134</v>
      </c>
      <c r="E582">
        <f>WEEKNUM(Append321[[#This Row],[Date]])</f>
        <v>35</v>
      </c>
    </row>
    <row r="583" spans="1:5">
      <c r="A583" t="s">
        <v>0</v>
      </c>
      <c r="B583" t="s">
        <v>101</v>
      </c>
      <c r="C583" s="5">
        <v>45533</v>
      </c>
      <c r="D583">
        <v>144</v>
      </c>
      <c r="E583">
        <f>WEEKNUM(Append321[[#This Row],[Date]])</f>
        <v>35</v>
      </c>
    </row>
    <row r="584" spans="1:5">
      <c r="A584" t="s">
        <v>0</v>
      </c>
      <c r="B584" t="s">
        <v>101</v>
      </c>
      <c r="C584" s="5">
        <v>45534</v>
      </c>
      <c r="D584">
        <v>183</v>
      </c>
      <c r="E584">
        <f>WEEKNUM(Append321[[#This Row],[Date]])</f>
        <v>35</v>
      </c>
    </row>
    <row r="585" spans="1:5">
      <c r="A585" t="s">
        <v>0</v>
      </c>
      <c r="B585" t="s">
        <v>101</v>
      </c>
      <c r="C585" s="5">
        <v>45535</v>
      </c>
      <c r="D585">
        <v>156</v>
      </c>
      <c r="E585">
        <f>WEEKNUM(Append321[[#This Row],[Date]])</f>
        <v>35</v>
      </c>
    </row>
    <row r="586" spans="1:5">
      <c r="A586" t="s">
        <v>0</v>
      </c>
      <c r="B586" t="s">
        <v>102</v>
      </c>
      <c r="C586" s="5">
        <v>45444</v>
      </c>
      <c r="D586">
        <v>283</v>
      </c>
      <c r="E586">
        <f>WEEKNUM(Append321[[#This Row],[Date]])</f>
        <v>22</v>
      </c>
    </row>
    <row r="587" spans="1:5">
      <c r="A587" t="s">
        <v>0</v>
      </c>
      <c r="B587" t="s">
        <v>102</v>
      </c>
      <c r="C587" s="5">
        <v>45445</v>
      </c>
      <c r="D587">
        <v>206</v>
      </c>
      <c r="E587">
        <f>WEEKNUM(Append321[[#This Row],[Date]])</f>
        <v>23</v>
      </c>
    </row>
    <row r="588" spans="1:5">
      <c r="A588" t="s">
        <v>0</v>
      </c>
      <c r="B588" t="s">
        <v>102</v>
      </c>
      <c r="C588" s="5">
        <v>45446</v>
      </c>
      <c r="D588">
        <v>246</v>
      </c>
      <c r="E588">
        <f>WEEKNUM(Append321[[#This Row],[Date]])</f>
        <v>23</v>
      </c>
    </row>
    <row r="589" spans="1:5">
      <c r="A589" t="s">
        <v>0</v>
      </c>
      <c r="B589" t="s">
        <v>102</v>
      </c>
      <c r="C589" s="5">
        <v>45447</v>
      </c>
      <c r="D589">
        <v>260</v>
      </c>
      <c r="E589">
        <f>WEEKNUM(Append321[[#This Row],[Date]])</f>
        <v>23</v>
      </c>
    </row>
    <row r="590" spans="1:5">
      <c r="A590" t="s">
        <v>0</v>
      </c>
      <c r="B590" t="s">
        <v>102</v>
      </c>
      <c r="C590" s="5">
        <v>45448</v>
      </c>
      <c r="D590">
        <v>235</v>
      </c>
      <c r="E590">
        <f>WEEKNUM(Append321[[#This Row],[Date]])</f>
        <v>23</v>
      </c>
    </row>
    <row r="591" spans="1:5">
      <c r="A591" t="s">
        <v>0</v>
      </c>
      <c r="B591" t="s">
        <v>102</v>
      </c>
      <c r="C591" s="5">
        <v>45449</v>
      </c>
      <c r="D591">
        <v>219</v>
      </c>
      <c r="E591">
        <f>WEEKNUM(Append321[[#This Row],[Date]])</f>
        <v>23</v>
      </c>
    </row>
    <row r="592" spans="1:5">
      <c r="A592" t="s">
        <v>0</v>
      </c>
      <c r="B592" t="s">
        <v>102</v>
      </c>
      <c r="C592" s="5">
        <v>45450</v>
      </c>
      <c r="D592">
        <v>225</v>
      </c>
      <c r="E592">
        <f>WEEKNUM(Append321[[#This Row],[Date]])</f>
        <v>23</v>
      </c>
    </row>
    <row r="593" spans="1:5">
      <c r="A593" t="s">
        <v>0</v>
      </c>
      <c r="B593" t="s">
        <v>102</v>
      </c>
      <c r="C593" s="5">
        <v>45451</v>
      </c>
      <c r="D593">
        <v>248</v>
      </c>
      <c r="E593">
        <f>WEEKNUM(Append321[[#This Row],[Date]])</f>
        <v>23</v>
      </c>
    </row>
    <row r="594" spans="1:5">
      <c r="A594" t="s">
        <v>0</v>
      </c>
      <c r="B594" t="s">
        <v>102</v>
      </c>
      <c r="C594" s="5">
        <v>45452</v>
      </c>
      <c r="D594">
        <v>197</v>
      </c>
      <c r="E594">
        <f>WEEKNUM(Append321[[#This Row],[Date]])</f>
        <v>24</v>
      </c>
    </row>
    <row r="595" spans="1:5">
      <c r="A595" t="s">
        <v>0</v>
      </c>
      <c r="B595" t="s">
        <v>102</v>
      </c>
      <c r="C595" s="5">
        <v>45453</v>
      </c>
      <c r="D595">
        <v>224</v>
      </c>
      <c r="E595">
        <f>WEEKNUM(Append321[[#This Row],[Date]])</f>
        <v>24</v>
      </c>
    </row>
    <row r="596" spans="1:5">
      <c r="A596" t="s">
        <v>0</v>
      </c>
      <c r="B596" t="s">
        <v>102</v>
      </c>
      <c r="C596" s="5">
        <v>45454</v>
      </c>
      <c r="D596">
        <v>205</v>
      </c>
      <c r="E596">
        <f>WEEKNUM(Append321[[#This Row],[Date]])</f>
        <v>24</v>
      </c>
    </row>
    <row r="597" spans="1:5">
      <c r="A597" t="s">
        <v>0</v>
      </c>
      <c r="B597" t="s">
        <v>102</v>
      </c>
      <c r="C597" s="5">
        <v>45455</v>
      </c>
      <c r="D597">
        <v>206</v>
      </c>
      <c r="E597">
        <f>WEEKNUM(Append321[[#This Row],[Date]])</f>
        <v>24</v>
      </c>
    </row>
    <row r="598" spans="1:5">
      <c r="A598" t="s">
        <v>0</v>
      </c>
      <c r="B598" t="s">
        <v>102</v>
      </c>
      <c r="C598" s="5">
        <v>45456</v>
      </c>
      <c r="D598">
        <v>196</v>
      </c>
      <c r="E598">
        <f>WEEKNUM(Append321[[#This Row],[Date]])</f>
        <v>24</v>
      </c>
    </row>
    <row r="599" spans="1:5">
      <c r="A599" t="s">
        <v>0</v>
      </c>
      <c r="B599" t="s">
        <v>102</v>
      </c>
      <c r="C599" s="5">
        <v>45457</v>
      </c>
      <c r="D599">
        <v>242</v>
      </c>
      <c r="E599">
        <f>WEEKNUM(Append321[[#This Row],[Date]])</f>
        <v>24</v>
      </c>
    </row>
    <row r="600" spans="1:5">
      <c r="A600" t="s">
        <v>0</v>
      </c>
      <c r="B600" t="s">
        <v>102</v>
      </c>
      <c r="C600" s="5">
        <v>45458</v>
      </c>
      <c r="D600">
        <v>271</v>
      </c>
      <c r="E600">
        <f>WEEKNUM(Append321[[#This Row],[Date]])</f>
        <v>24</v>
      </c>
    </row>
    <row r="601" spans="1:5">
      <c r="A601" t="s">
        <v>0</v>
      </c>
      <c r="B601" t="s">
        <v>102</v>
      </c>
      <c r="C601" s="5">
        <v>45459</v>
      </c>
      <c r="D601">
        <v>197</v>
      </c>
      <c r="E601">
        <f>WEEKNUM(Append321[[#This Row],[Date]])</f>
        <v>25</v>
      </c>
    </row>
    <row r="602" spans="1:5">
      <c r="A602" t="s">
        <v>0</v>
      </c>
      <c r="B602" t="s">
        <v>102</v>
      </c>
      <c r="C602" s="5">
        <v>45460</v>
      </c>
      <c r="D602">
        <v>232</v>
      </c>
      <c r="E602">
        <f>WEEKNUM(Append321[[#This Row],[Date]])</f>
        <v>25</v>
      </c>
    </row>
    <row r="603" spans="1:5">
      <c r="A603" t="s">
        <v>0</v>
      </c>
      <c r="B603" t="s">
        <v>102</v>
      </c>
      <c r="C603" s="5">
        <v>45461</v>
      </c>
      <c r="D603">
        <v>230</v>
      </c>
      <c r="E603">
        <f>WEEKNUM(Append321[[#This Row],[Date]])</f>
        <v>25</v>
      </c>
    </row>
    <row r="604" spans="1:5">
      <c r="A604" t="s">
        <v>0</v>
      </c>
      <c r="B604" t="s">
        <v>102</v>
      </c>
      <c r="C604" s="5">
        <v>45462</v>
      </c>
      <c r="D604">
        <v>233</v>
      </c>
      <c r="E604">
        <f>WEEKNUM(Append321[[#This Row],[Date]])</f>
        <v>25</v>
      </c>
    </row>
    <row r="605" spans="1:5">
      <c r="A605" t="s">
        <v>0</v>
      </c>
      <c r="B605" t="s">
        <v>102</v>
      </c>
      <c r="C605" s="5">
        <v>45463</v>
      </c>
      <c r="D605">
        <v>204</v>
      </c>
      <c r="E605">
        <f>WEEKNUM(Append321[[#This Row],[Date]])</f>
        <v>25</v>
      </c>
    </row>
    <row r="606" spans="1:5">
      <c r="A606" t="s">
        <v>0</v>
      </c>
      <c r="B606" t="s">
        <v>102</v>
      </c>
      <c r="C606" s="5">
        <v>45464</v>
      </c>
      <c r="D606">
        <v>212</v>
      </c>
      <c r="E606">
        <f>WEEKNUM(Append321[[#This Row],[Date]])</f>
        <v>25</v>
      </c>
    </row>
    <row r="607" spans="1:5">
      <c r="A607" t="s">
        <v>0</v>
      </c>
      <c r="B607" t="s">
        <v>102</v>
      </c>
      <c r="C607" s="5">
        <v>45465</v>
      </c>
      <c r="D607">
        <v>286</v>
      </c>
      <c r="E607">
        <f>WEEKNUM(Append321[[#This Row],[Date]])</f>
        <v>25</v>
      </c>
    </row>
    <row r="608" spans="1:5">
      <c r="A608" t="s">
        <v>0</v>
      </c>
      <c r="B608" t="s">
        <v>102</v>
      </c>
      <c r="C608" s="5">
        <v>45466</v>
      </c>
      <c r="D608">
        <v>201</v>
      </c>
      <c r="E608">
        <f>WEEKNUM(Append321[[#This Row],[Date]])</f>
        <v>26</v>
      </c>
    </row>
    <row r="609" spans="1:5">
      <c r="A609" t="s">
        <v>0</v>
      </c>
      <c r="B609" t="s">
        <v>102</v>
      </c>
      <c r="C609" s="5">
        <v>45467</v>
      </c>
      <c r="D609">
        <v>208</v>
      </c>
      <c r="E609">
        <f>WEEKNUM(Append321[[#This Row],[Date]])</f>
        <v>26</v>
      </c>
    </row>
    <row r="610" spans="1:5">
      <c r="A610" t="s">
        <v>0</v>
      </c>
      <c r="B610" t="s">
        <v>102</v>
      </c>
      <c r="C610" s="5">
        <v>45468</v>
      </c>
      <c r="D610">
        <v>248</v>
      </c>
      <c r="E610">
        <f>WEEKNUM(Append321[[#This Row],[Date]])</f>
        <v>26</v>
      </c>
    </row>
    <row r="611" spans="1:5">
      <c r="A611" t="s">
        <v>0</v>
      </c>
      <c r="B611" t="s">
        <v>102</v>
      </c>
      <c r="C611" s="5">
        <v>45469</v>
      </c>
      <c r="D611">
        <v>211</v>
      </c>
      <c r="E611">
        <f>WEEKNUM(Append321[[#This Row],[Date]])</f>
        <v>26</v>
      </c>
    </row>
    <row r="612" spans="1:5">
      <c r="A612" t="s">
        <v>0</v>
      </c>
      <c r="B612" t="s">
        <v>102</v>
      </c>
      <c r="C612" s="5">
        <v>45470</v>
      </c>
      <c r="D612">
        <v>227</v>
      </c>
      <c r="E612">
        <f>WEEKNUM(Append321[[#This Row],[Date]])</f>
        <v>26</v>
      </c>
    </row>
    <row r="613" spans="1:5">
      <c r="A613" t="s">
        <v>0</v>
      </c>
      <c r="B613" t="s">
        <v>102</v>
      </c>
      <c r="C613" s="5">
        <v>45471</v>
      </c>
      <c r="D613">
        <v>256</v>
      </c>
      <c r="E613">
        <f>WEEKNUM(Append321[[#This Row],[Date]])</f>
        <v>26</v>
      </c>
    </row>
    <row r="614" spans="1:5">
      <c r="A614" t="s">
        <v>0</v>
      </c>
      <c r="B614" t="s">
        <v>102</v>
      </c>
      <c r="C614" s="5">
        <v>45472</v>
      </c>
      <c r="D614">
        <v>283</v>
      </c>
      <c r="E614">
        <f>WEEKNUM(Append321[[#This Row],[Date]])</f>
        <v>26</v>
      </c>
    </row>
    <row r="615" spans="1:5">
      <c r="A615" t="s">
        <v>0</v>
      </c>
      <c r="B615" t="s">
        <v>102</v>
      </c>
      <c r="C615" s="5">
        <v>45473</v>
      </c>
      <c r="D615">
        <v>259</v>
      </c>
      <c r="E615">
        <f>WEEKNUM(Append321[[#This Row],[Date]])</f>
        <v>27</v>
      </c>
    </row>
    <row r="616" spans="1:5">
      <c r="A616" t="s">
        <v>0</v>
      </c>
      <c r="B616" t="s">
        <v>102</v>
      </c>
      <c r="C616" s="5">
        <v>45474</v>
      </c>
      <c r="D616">
        <v>256</v>
      </c>
      <c r="E616">
        <f>WEEKNUM(Append321[[#This Row],[Date]])</f>
        <v>27</v>
      </c>
    </row>
    <row r="617" spans="1:5">
      <c r="A617" t="s">
        <v>0</v>
      </c>
      <c r="B617" t="s">
        <v>102</v>
      </c>
      <c r="C617" s="5">
        <v>45475</v>
      </c>
      <c r="D617">
        <v>232</v>
      </c>
      <c r="E617">
        <f>WEEKNUM(Append321[[#This Row],[Date]])</f>
        <v>27</v>
      </c>
    </row>
    <row r="618" spans="1:5">
      <c r="A618" t="s">
        <v>0</v>
      </c>
      <c r="B618" t="s">
        <v>102</v>
      </c>
      <c r="C618" s="5">
        <v>45476</v>
      </c>
      <c r="D618">
        <v>246</v>
      </c>
      <c r="E618">
        <f>WEEKNUM(Append321[[#This Row],[Date]])</f>
        <v>27</v>
      </c>
    </row>
    <row r="619" spans="1:5">
      <c r="A619" t="s">
        <v>0</v>
      </c>
      <c r="B619" t="s">
        <v>102</v>
      </c>
      <c r="C619" s="5">
        <v>45477</v>
      </c>
      <c r="D619">
        <v>195</v>
      </c>
      <c r="E619">
        <f>WEEKNUM(Append321[[#This Row],[Date]])</f>
        <v>27</v>
      </c>
    </row>
    <row r="620" spans="1:5">
      <c r="A620" t="s">
        <v>0</v>
      </c>
      <c r="B620" t="s">
        <v>102</v>
      </c>
      <c r="C620" s="5">
        <v>45478</v>
      </c>
      <c r="D620">
        <v>222</v>
      </c>
      <c r="E620">
        <f>WEEKNUM(Append321[[#This Row],[Date]])</f>
        <v>27</v>
      </c>
    </row>
    <row r="621" spans="1:5">
      <c r="A621" t="s">
        <v>0</v>
      </c>
      <c r="B621" t="s">
        <v>102</v>
      </c>
      <c r="C621" s="5">
        <v>45479</v>
      </c>
      <c r="D621">
        <v>248</v>
      </c>
      <c r="E621">
        <f>WEEKNUM(Append321[[#This Row],[Date]])</f>
        <v>27</v>
      </c>
    </row>
    <row r="622" spans="1:5">
      <c r="A622" t="s">
        <v>0</v>
      </c>
      <c r="B622" t="s">
        <v>102</v>
      </c>
      <c r="C622" s="5">
        <v>45480</v>
      </c>
      <c r="D622">
        <v>188</v>
      </c>
      <c r="E622">
        <f>WEEKNUM(Append321[[#This Row],[Date]])</f>
        <v>28</v>
      </c>
    </row>
    <row r="623" spans="1:5">
      <c r="A623" t="s">
        <v>0</v>
      </c>
      <c r="B623" t="s">
        <v>102</v>
      </c>
      <c r="C623" s="5">
        <v>45481</v>
      </c>
      <c r="D623">
        <v>176</v>
      </c>
      <c r="E623">
        <f>WEEKNUM(Append321[[#This Row],[Date]])</f>
        <v>28</v>
      </c>
    </row>
    <row r="624" spans="1:5">
      <c r="A624" t="s">
        <v>0</v>
      </c>
      <c r="B624" t="s">
        <v>102</v>
      </c>
      <c r="C624" s="5">
        <v>45482</v>
      </c>
      <c r="D624">
        <v>179</v>
      </c>
      <c r="E624">
        <f>WEEKNUM(Append321[[#This Row],[Date]])</f>
        <v>28</v>
      </c>
    </row>
    <row r="625" spans="1:5">
      <c r="A625" t="s">
        <v>0</v>
      </c>
      <c r="B625" t="s">
        <v>102</v>
      </c>
      <c r="C625" s="5">
        <v>45483</v>
      </c>
      <c r="D625">
        <v>207</v>
      </c>
      <c r="E625">
        <f>WEEKNUM(Append321[[#This Row],[Date]])</f>
        <v>28</v>
      </c>
    </row>
    <row r="626" spans="1:5">
      <c r="A626" t="s">
        <v>0</v>
      </c>
      <c r="B626" t="s">
        <v>102</v>
      </c>
      <c r="C626" s="5">
        <v>45484</v>
      </c>
      <c r="D626">
        <v>196</v>
      </c>
      <c r="E626">
        <f>WEEKNUM(Append321[[#This Row],[Date]])</f>
        <v>28</v>
      </c>
    </row>
    <row r="627" spans="1:5">
      <c r="A627" t="s">
        <v>0</v>
      </c>
      <c r="B627" t="s">
        <v>102</v>
      </c>
      <c r="C627" s="5">
        <v>45485</v>
      </c>
      <c r="D627">
        <v>228</v>
      </c>
      <c r="E627">
        <f>WEEKNUM(Append321[[#This Row],[Date]])</f>
        <v>28</v>
      </c>
    </row>
    <row r="628" spans="1:5">
      <c r="A628" t="s">
        <v>0</v>
      </c>
      <c r="B628" t="s">
        <v>102</v>
      </c>
      <c r="C628" s="5">
        <v>45486</v>
      </c>
      <c r="D628">
        <v>255</v>
      </c>
      <c r="E628">
        <f>WEEKNUM(Append321[[#This Row],[Date]])</f>
        <v>28</v>
      </c>
    </row>
    <row r="629" spans="1:5">
      <c r="A629" t="s">
        <v>0</v>
      </c>
      <c r="B629" t="s">
        <v>102</v>
      </c>
      <c r="C629" s="5">
        <v>45487</v>
      </c>
      <c r="D629">
        <v>200</v>
      </c>
      <c r="E629">
        <f>WEEKNUM(Append321[[#This Row],[Date]])</f>
        <v>29</v>
      </c>
    </row>
    <row r="630" spans="1:5">
      <c r="A630" t="s">
        <v>0</v>
      </c>
      <c r="B630" t="s">
        <v>102</v>
      </c>
      <c r="C630" s="5">
        <v>45488</v>
      </c>
      <c r="D630">
        <v>207</v>
      </c>
      <c r="E630">
        <f>WEEKNUM(Append321[[#This Row],[Date]])</f>
        <v>29</v>
      </c>
    </row>
    <row r="631" spans="1:5">
      <c r="A631" t="s">
        <v>0</v>
      </c>
      <c r="B631" t="s">
        <v>102</v>
      </c>
      <c r="C631" s="5">
        <v>45489</v>
      </c>
      <c r="D631">
        <v>204</v>
      </c>
      <c r="E631">
        <f>WEEKNUM(Append321[[#This Row],[Date]])</f>
        <v>29</v>
      </c>
    </row>
    <row r="632" spans="1:5">
      <c r="A632" t="s">
        <v>0</v>
      </c>
      <c r="B632" t="s">
        <v>102</v>
      </c>
      <c r="C632" s="5">
        <v>45490</v>
      </c>
      <c r="D632">
        <v>271</v>
      </c>
      <c r="E632">
        <f>WEEKNUM(Append321[[#This Row],[Date]])</f>
        <v>29</v>
      </c>
    </row>
    <row r="633" spans="1:5">
      <c r="A633" t="s">
        <v>0</v>
      </c>
      <c r="B633" t="s">
        <v>102</v>
      </c>
      <c r="C633" s="5">
        <v>45491</v>
      </c>
      <c r="D633">
        <v>212</v>
      </c>
      <c r="E633">
        <f>WEEKNUM(Append321[[#This Row],[Date]])</f>
        <v>29</v>
      </c>
    </row>
    <row r="634" spans="1:5">
      <c r="A634" t="s">
        <v>0</v>
      </c>
      <c r="B634" t="s">
        <v>102</v>
      </c>
      <c r="C634" s="5">
        <v>45492</v>
      </c>
      <c r="D634">
        <v>242</v>
      </c>
      <c r="E634">
        <f>WEEKNUM(Append321[[#This Row],[Date]])</f>
        <v>29</v>
      </c>
    </row>
    <row r="635" spans="1:5">
      <c r="A635" t="s">
        <v>0</v>
      </c>
      <c r="B635" t="s">
        <v>102</v>
      </c>
      <c r="C635" s="5">
        <v>45493</v>
      </c>
      <c r="D635">
        <v>265</v>
      </c>
      <c r="E635">
        <f>WEEKNUM(Append321[[#This Row],[Date]])</f>
        <v>29</v>
      </c>
    </row>
    <row r="636" spans="1:5">
      <c r="A636" t="s">
        <v>0</v>
      </c>
      <c r="B636" t="s">
        <v>102</v>
      </c>
      <c r="C636" s="5">
        <v>45494</v>
      </c>
      <c r="D636">
        <v>215</v>
      </c>
      <c r="E636">
        <f>WEEKNUM(Append321[[#This Row],[Date]])</f>
        <v>30</v>
      </c>
    </row>
    <row r="637" spans="1:5">
      <c r="A637" t="s">
        <v>0</v>
      </c>
      <c r="B637" t="s">
        <v>102</v>
      </c>
      <c r="C637" s="5">
        <v>45495</v>
      </c>
      <c r="D637">
        <v>194</v>
      </c>
      <c r="E637">
        <f>WEEKNUM(Append321[[#This Row],[Date]])</f>
        <v>30</v>
      </c>
    </row>
    <row r="638" spans="1:5">
      <c r="A638" t="s">
        <v>0</v>
      </c>
      <c r="B638" t="s">
        <v>102</v>
      </c>
      <c r="C638" s="5">
        <v>45496</v>
      </c>
      <c r="D638">
        <v>227</v>
      </c>
      <c r="E638">
        <f>WEEKNUM(Append321[[#This Row],[Date]])</f>
        <v>30</v>
      </c>
    </row>
    <row r="639" spans="1:5">
      <c r="A639" t="s">
        <v>0</v>
      </c>
      <c r="B639" t="s">
        <v>102</v>
      </c>
      <c r="C639" s="5">
        <v>45497</v>
      </c>
      <c r="D639">
        <v>214</v>
      </c>
      <c r="E639">
        <f>WEEKNUM(Append321[[#This Row],[Date]])</f>
        <v>30</v>
      </c>
    </row>
    <row r="640" spans="1:5">
      <c r="A640" t="s">
        <v>0</v>
      </c>
      <c r="B640" t="s">
        <v>102</v>
      </c>
      <c r="C640" s="5">
        <v>45498</v>
      </c>
      <c r="D640">
        <v>202</v>
      </c>
      <c r="E640">
        <f>WEEKNUM(Append321[[#This Row],[Date]])</f>
        <v>30</v>
      </c>
    </row>
    <row r="641" spans="1:5">
      <c r="A641" t="s">
        <v>0</v>
      </c>
      <c r="B641" t="s">
        <v>102</v>
      </c>
      <c r="C641" s="5">
        <v>45499</v>
      </c>
      <c r="D641">
        <v>225</v>
      </c>
      <c r="E641">
        <f>WEEKNUM(Append321[[#This Row],[Date]])</f>
        <v>30</v>
      </c>
    </row>
    <row r="642" spans="1:5">
      <c r="A642" t="s">
        <v>0</v>
      </c>
      <c r="B642" t="s">
        <v>102</v>
      </c>
      <c r="C642" s="5">
        <v>45500</v>
      </c>
      <c r="D642">
        <v>281</v>
      </c>
      <c r="E642">
        <f>WEEKNUM(Append321[[#This Row],[Date]])</f>
        <v>30</v>
      </c>
    </row>
    <row r="643" spans="1:5">
      <c r="A643" t="s">
        <v>0</v>
      </c>
      <c r="B643" t="s">
        <v>102</v>
      </c>
      <c r="C643" s="5">
        <v>45501</v>
      </c>
      <c r="D643">
        <v>223</v>
      </c>
      <c r="E643">
        <f>WEEKNUM(Append321[[#This Row],[Date]])</f>
        <v>31</v>
      </c>
    </row>
    <row r="644" spans="1:5">
      <c r="A644" t="s">
        <v>0</v>
      </c>
      <c r="B644" t="s">
        <v>102</v>
      </c>
      <c r="C644" s="5">
        <v>45502</v>
      </c>
      <c r="D644">
        <v>227</v>
      </c>
      <c r="E644">
        <f>WEEKNUM(Append321[[#This Row],[Date]])</f>
        <v>31</v>
      </c>
    </row>
    <row r="645" spans="1:5">
      <c r="A645" t="s">
        <v>0</v>
      </c>
      <c r="B645" t="s">
        <v>102</v>
      </c>
      <c r="C645" s="5">
        <v>45503</v>
      </c>
      <c r="D645">
        <v>192</v>
      </c>
      <c r="E645">
        <f>WEEKNUM(Append321[[#This Row],[Date]])</f>
        <v>31</v>
      </c>
    </row>
    <row r="646" spans="1:5">
      <c r="A646" t="s">
        <v>0</v>
      </c>
      <c r="B646" t="s">
        <v>102</v>
      </c>
      <c r="C646" s="5">
        <v>45504</v>
      </c>
      <c r="D646">
        <v>235</v>
      </c>
      <c r="E646">
        <f>WEEKNUM(Append321[[#This Row],[Date]])</f>
        <v>31</v>
      </c>
    </row>
    <row r="647" spans="1:5">
      <c r="A647" t="s">
        <v>0</v>
      </c>
      <c r="B647" t="s">
        <v>102</v>
      </c>
      <c r="C647" s="5">
        <v>45505</v>
      </c>
      <c r="D647">
        <v>226</v>
      </c>
      <c r="E647">
        <f>WEEKNUM(Append321[[#This Row],[Date]])</f>
        <v>31</v>
      </c>
    </row>
    <row r="648" spans="1:5">
      <c r="A648" t="s">
        <v>0</v>
      </c>
      <c r="B648" t="s">
        <v>102</v>
      </c>
      <c r="C648" s="5">
        <v>45506</v>
      </c>
      <c r="D648">
        <v>261</v>
      </c>
      <c r="E648">
        <f>WEEKNUM(Append321[[#This Row],[Date]])</f>
        <v>31</v>
      </c>
    </row>
    <row r="649" spans="1:5">
      <c r="A649" t="s">
        <v>0</v>
      </c>
      <c r="B649" t="s">
        <v>102</v>
      </c>
      <c r="C649" s="5">
        <v>45507</v>
      </c>
      <c r="D649">
        <v>330</v>
      </c>
      <c r="E649">
        <f>WEEKNUM(Append321[[#This Row],[Date]])</f>
        <v>31</v>
      </c>
    </row>
    <row r="650" spans="1:5">
      <c r="A650" t="s">
        <v>0</v>
      </c>
      <c r="B650" t="s">
        <v>102</v>
      </c>
      <c r="C650" s="5">
        <v>45508</v>
      </c>
      <c r="D650">
        <v>256</v>
      </c>
      <c r="E650">
        <f>WEEKNUM(Append321[[#This Row],[Date]])</f>
        <v>32</v>
      </c>
    </row>
    <row r="651" spans="1:5">
      <c r="A651" t="s">
        <v>0</v>
      </c>
      <c r="B651" t="s">
        <v>102</v>
      </c>
      <c r="C651" s="5">
        <v>45509</v>
      </c>
      <c r="D651">
        <v>238</v>
      </c>
      <c r="E651">
        <f>WEEKNUM(Append321[[#This Row],[Date]])</f>
        <v>32</v>
      </c>
    </row>
    <row r="652" spans="1:5">
      <c r="A652" t="s">
        <v>0</v>
      </c>
      <c r="B652" t="s">
        <v>102</v>
      </c>
      <c r="C652" s="5">
        <v>45510</v>
      </c>
      <c r="D652">
        <v>196</v>
      </c>
      <c r="E652">
        <f>WEEKNUM(Append321[[#This Row],[Date]])</f>
        <v>32</v>
      </c>
    </row>
    <row r="653" spans="1:5">
      <c r="A653" t="s">
        <v>0</v>
      </c>
      <c r="B653" t="s">
        <v>102</v>
      </c>
      <c r="C653" s="5">
        <v>45511</v>
      </c>
      <c r="D653">
        <v>240</v>
      </c>
      <c r="E653">
        <f>WEEKNUM(Append321[[#This Row],[Date]])</f>
        <v>32</v>
      </c>
    </row>
    <row r="654" spans="1:5">
      <c r="A654" t="s">
        <v>0</v>
      </c>
      <c r="B654" t="s">
        <v>102</v>
      </c>
      <c r="C654" s="5">
        <v>45512</v>
      </c>
      <c r="D654">
        <v>205</v>
      </c>
      <c r="E654">
        <f>WEEKNUM(Append321[[#This Row],[Date]])</f>
        <v>32</v>
      </c>
    </row>
    <row r="655" spans="1:5">
      <c r="A655" t="s">
        <v>0</v>
      </c>
      <c r="B655" t="s">
        <v>102</v>
      </c>
      <c r="C655" s="5">
        <v>45513</v>
      </c>
      <c r="D655">
        <v>194</v>
      </c>
      <c r="E655">
        <f>WEEKNUM(Append321[[#This Row],[Date]])</f>
        <v>32</v>
      </c>
    </row>
    <row r="656" spans="1:5">
      <c r="A656" t="s">
        <v>0</v>
      </c>
      <c r="B656" t="s">
        <v>102</v>
      </c>
      <c r="C656" s="5">
        <v>45514</v>
      </c>
      <c r="D656">
        <v>278</v>
      </c>
      <c r="E656">
        <f>WEEKNUM(Append321[[#This Row],[Date]])</f>
        <v>32</v>
      </c>
    </row>
    <row r="657" spans="1:5">
      <c r="A657" t="s">
        <v>0</v>
      </c>
      <c r="B657" t="s">
        <v>102</v>
      </c>
      <c r="C657" s="5">
        <v>45515</v>
      </c>
      <c r="D657">
        <v>190</v>
      </c>
      <c r="E657">
        <f>WEEKNUM(Append321[[#This Row],[Date]])</f>
        <v>33</v>
      </c>
    </row>
    <row r="658" spans="1:5">
      <c r="A658" t="s">
        <v>0</v>
      </c>
      <c r="B658" t="s">
        <v>102</v>
      </c>
      <c r="C658" s="5">
        <v>45516</v>
      </c>
      <c r="D658">
        <v>180</v>
      </c>
      <c r="E658">
        <f>WEEKNUM(Append321[[#This Row],[Date]])</f>
        <v>33</v>
      </c>
    </row>
    <row r="659" spans="1:5">
      <c r="A659" t="s">
        <v>0</v>
      </c>
      <c r="B659" t="s">
        <v>102</v>
      </c>
      <c r="C659" s="5">
        <v>45517</v>
      </c>
      <c r="D659">
        <v>164</v>
      </c>
      <c r="E659">
        <f>WEEKNUM(Append321[[#This Row],[Date]])</f>
        <v>33</v>
      </c>
    </row>
    <row r="660" spans="1:5">
      <c r="A660" t="s">
        <v>0</v>
      </c>
      <c r="B660" t="s">
        <v>102</v>
      </c>
      <c r="C660" s="5">
        <v>45518</v>
      </c>
      <c r="D660">
        <v>199</v>
      </c>
      <c r="E660">
        <f>WEEKNUM(Append321[[#This Row],[Date]])</f>
        <v>33</v>
      </c>
    </row>
    <row r="661" spans="1:5">
      <c r="A661" t="s">
        <v>0</v>
      </c>
      <c r="B661" t="s">
        <v>102</v>
      </c>
      <c r="C661" s="5">
        <v>45519</v>
      </c>
      <c r="D661">
        <v>206</v>
      </c>
      <c r="E661">
        <f>WEEKNUM(Append321[[#This Row],[Date]])</f>
        <v>33</v>
      </c>
    </row>
    <row r="662" spans="1:5">
      <c r="A662" t="s">
        <v>0</v>
      </c>
      <c r="B662" t="s">
        <v>102</v>
      </c>
      <c r="C662" s="5">
        <v>45520</v>
      </c>
      <c r="D662">
        <v>218</v>
      </c>
      <c r="E662">
        <f>WEEKNUM(Append321[[#This Row],[Date]])</f>
        <v>33</v>
      </c>
    </row>
    <row r="663" spans="1:5">
      <c r="A663" t="s">
        <v>0</v>
      </c>
      <c r="B663" t="s">
        <v>102</v>
      </c>
      <c r="C663" s="5">
        <v>45521</v>
      </c>
      <c r="D663">
        <v>199</v>
      </c>
      <c r="E663">
        <f>WEEKNUM(Append321[[#This Row],[Date]])</f>
        <v>33</v>
      </c>
    </row>
    <row r="664" spans="1:5">
      <c r="A664" t="s">
        <v>0</v>
      </c>
      <c r="B664" t="s">
        <v>102</v>
      </c>
      <c r="C664" s="5">
        <v>45522</v>
      </c>
      <c r="D664">
        <v>183</v>
      </c>
      <c r="E664">
        <f>WEEKNUM(Append321[[#This Row],[Date]])</f>
        <v>34</v>
      </c>
    </row>
    <row r="665" spans="1:5">
      <c r="A665" t="s">
        <v>0</v>
      </c>
      <c r="B665" t="s">
        <v>102</v>
      </c>
      <c r="C665" s="5">
        <v>45523</v>
      </c>
      <c r="D665">
        <v>157</v>
      </c>
      <c r="E665">
        <f>WEEKNUM(Append321[[#This Row],[Date]])</f>
        <v>34</v>
      </c>
    </row>
    <row r="666" spans="1:5">
      <c r="A666" t="s">
        <v>0</v>
      </c>
      <c r="B666" t="s">
        <v>102</v>
      </c>
      <c r="C666" s="5">
        <v>45524</v>
      </c>
      <c r="D666">
        <v>180</v>
      </c>
      <c r="E666">
        <f>WEEKNUM(Append321[[#This Row],[Date]])</f>
        <v>34</v>
      </c>
    </row>
    <row r="667" spans="1:5">
      <c r="A667" t="s">
        <v>0</v>
      </c>
      <c r="B667" t="s">
        <v>102</v>
      </c>
      <c r="C667" s="5">
        <v>45525</v>
      </c>
      <c r="D667">
        <v>190</v>
      </c>
      <c r="E667">
        <f>WEEKNUM(Append321[[#This Row],[Date]])</f>
        <v>34</v>
      </c>
    </row>
    <row r="668" spans="1:5">
      <c r="A668" t="s">
        <v>0</v>
      </c>
      <c r="B668" t="s">
        <v>102</v>
      </c>
      <c r="C668" s="5">
        <v>45526</v>
      </c>
      <c r="D668">
        <v>180</v>
      </c>
      <c r="E668">
        <f>WEEKNUM(Append321[[#This Row],[Date]])</f>
        <v>34</v>
      </c>
    </row>
    <row r="669" spans="1:5">
      <c r="A669" t="s">
        <v>0</v>
      </c>
      <c r="B669" t="s">
        <v>102</v>
      </c>
      <c r="C669" s="5">
        <v>45527</v>
      </c>
      <c r="D669">
        <v>192</v>
      </c>
      <c r="E669">
        <f>WEEKNUM(Append321[[#This Row],[Date]])</f>
        <v>34</v>
      </c>
    </row>
    <row r="670" spans="1:5">
      <c r="A670" t="s">
        <v>0</v>
      </c>
      <c r="B670" t="s">
        <v>102</v>
      </c>
      <c r="C670" s="5">
        <v>45528</v>
      </c>
      <c r="D670">
        <v>213</v>
      </c>
      <c r="E670">
        <f>WEEKNUM(Append321[[#This Row],[Date]])</f>
        <v>34</v>
      </c>
    </row>
    <row r="671" spans="1:5">
      <c r="A671" t="s">
        <v>0</v>
      </c>
      <c r="B671" t="s">
        <v>102</v>
      </c>
      <c r="C671" s="5">
        <v>45529</v>
      </c>
      <c r="D671">
        <v>148</v>
      </c>
      <c r="E671">
        <f>WEEKNUM(Append321[[#This Row],[Date]])</f>
        <v>35</v>
      </c>
    </row>
    <row r="672" spans="1:5">
      <c r="A672" t="s">
        <v>0</v>
      </c>
      <c r="B672" t="s">
        <v>102</v>
      </c>
      <c r="C672" s="5">
        <v>45530</v>
      </c>
      <c r="D672">
        <v>171</v>
      </c>
      <c r="E672">
        <f>WEEKNUM(Append321[[#This Row],[Date]])</f>
        <v>35</v>
      </c>
    </row>
    <row r="673" spans="1:5">
      <c r="A673" t="s">
        <v>0</v>
      </c>
      <c r="B673" t="s">
        <v>102</v>
      </c>
      <c r="C673" s="5">
        <v>45531</v>
      </c>
      <c r="D673">
        <v>175</v>
      </c>
      <c r="E673">
        <f>WEEKNUM(Append321[[#This Row],[Date]])</f>
        <v>35</v>
      </c>
    </row>
    <row r="674" spans="1:5">
      <c r="A674" t="s">
        <v>0</v>
      </c>
      <c r="B674" t="s">
        <v>102</v>
      </c>
      <c r="C674" s="5">
        <v>45532</v>
      </c>
      <c r="D674">
        <v>174</v>
      </c>
      <c r="E674">
        <f>WEEKNUM(Append321[[#This Row],[Date]])</f>
        <v>35</v>
      </c>
    </row>
    <row r="675" spans="1:5">
      <c r="A675" t="s">
        <v>0</v>
      </c>
      <c r="B675" t="s">
        <v>102</v>
      </c>
      <c r="C675" s="5">
        <v>45533</v>
      </c>
      <c r="D675">
        <v>171</v>
      </c>
      <c r="E675">
        <f>WEEKNUM(Append321[[#This Row],[Date]])</f>
        <v>35</v>
      </c>
    </row>
    <row r="676" spans="1:5">
      <c r="A676" t="s">
        <v>0</v>
      </c>
      <c r="B676" t="s">
        <v>102</v>
      </c>
      <c r="C676" s="5">
        <v>45534</v>
      </c>
      <c r="D676">
        <v>181</v>
      </c>
      <c r="E676">
        <f>WEEKNUM(Append321[[#This Row],[Date]])</f>
        <v>35</v>
      </c>
    </row>
    <row r="677" spans="1:5">
      <c r="A677" t="s">
        <v>0</v>
      </c>
      <c r="B677" t="s">
        <v>102</v>
      </c>
      <c r="C677" s="5">
        <v>45535</v>
      </c>
      <c r="D677">
        <v>230</v>
      </c>
      <c r="E677">
        <f>WEEKNUM(Append321[[#This Row],[Date]])</f>
        <v>35</v>
      </c>
    </row>
    <row r="678" spans="1:5">
      <c r="A678" t="s">
        <v>0</v>
      </c>
      <c r="B678" t="s">
        <v>103</v>
      </c>
      <c r="C678" s="5">
        <v>45444</v>
      </c>
      <c r="D678">
        <v>92</v>
      </c>
      <c r="E678">
        <f>WEEKNUM(Append321[[#This Row],[Date]])</f>
        <v>22</v>
      </c>
    </row>
    <row r="679" spans="1:5">
      <c r="A679" t="s">
        <v>0</v>
      </c>
      <c r="B679" t="s">
        <v>103</v>
      </c>
      <c r="C679" s="5">
        <v>45445</v>
      </c>
      <c r="D679">
        <v>67</v>
      </c>
      <c r="E679">
        <f>WEEKNUM(Append321[[#This Row],[Date]])</f>
        <v>23</v>
      </c>
    </row>
    <row r="680" spans="1:5">
      <c r="A680" t="s">
        <v>0</v>
      </c>
      <c r="B680" t="s">
        <v>103</v>
      </c>
      <c r="C680" s="5">
        <v>45446</v>
      </c>
      <c r="D680">
        <v>73</v>
      </c>
      <c r="E680">
        <f>WEEKNUM(Append321[[#This Row],[Date]])</f>
        <v>23</v>
      </c>
    </row>
    <row r="681" spans="1:5">
      <c r="A681" t="s">
        <v>0</v>
      </c>
      <c r="B681" t="s">
        <v>103</v>
      </c>
      <c r="C681" s="5">
        <v>45447</v>
      </c>
      <c r="D681">
        <v>66</v>
      </c>
      <c r="E681">
        <f>WEEKNUM(Append321[[#This Row],[Date]])</f>
        <v>23</v>
      </c>
    </row>
    <row r="682" spans="1:5">
      <c r="A682" t="s">
        <v>0</v>
      </c>
      <c r="B682" t="s">
        <v>103</v>
      </c>
      <c r="C682" s="5">
        <v>45448</v>
      </c>
      <c r="D682">
        <v>64</v>
      </c>
      <c r="E682">
        <f>WEEKNUM(Append321[[#This Row],[Date]])</f>
        <v>23</v>
      </c>
    </row>
    <row r="683" spans="1:5">
      <c r="A683" t="s">
        <v>0</v>
      </c>
      <c r="B683" t="s">
        <v>103</v>
      </c>
      <c r="C683" s="5">
        <v>45449</v>
      </c>
      <c r="D683">
        <v>65</v>
      </c>
      <c r="E683">
        <f>WEEKNUM(Append321[[#This Row],[Date]])</f>
        <v>23</v>
      </c>
    </row>
    <row r="684" spans="1:5">
      <c r="A684" t="s">
        <v>0</v>
      </c>
      <c r="B684" t="s">
        <v>103</v>
      </c>
      <c r="C684" s="5">
        <v>45450</v>
      </c>
      <c r="D684">
        <v>63</v>
      </c>
      <c r="E684">
        <f>WEEKNUM(Append321[[#This Row],[Date]])</f>
        <v>23</v>
      </c>
    </row>
    <row r="685" spans="1:5">
      <c r="A685" t="s">
        <v>0</v>
      </c>
      <c r="B685" t="s">
        <v>103</v>
      </c>
      <c r="C685" s="5">
        <v>45451</v>
      </c>
      <c r="D685">
        <v>71</v>
      </c>
      <c r="E685">
        <f>WEEKNUM(Append321[[#This Row],[Date]])</f>
        <v>23</v>
      </c>
    </row>
    <row r="686" spans="1:5">
      <c r="A686" t="s">
        <v>0</v>
      </c>
      <c r="B686" t="s">
        <v>103</v>
      </c>
      <c r="C686" s="5">
        <v>45452</v>
      </c>
      <c r="D686">
        <v>55</v>
      </c>
      <c r="E686">
        <f>WEEKNUM(Append321[[#This Row],[Date]])</f>
        <v>24</v>
      </c>
    </row>
    <row r="687" spans="1:5">
      <c r="A687" t="s">
        <v>0</v>
      </c>
      <c r="B687" t="s">
        <v>103</v>
      </c>
      <c r="C687" s="5">
        <v>45453</v>
      </c>
      <c r="D687">
        <v>61</v>
      </c>
      <c r="E687">
        <f>WEEKNUM(Append321[[#This Row],[Date]])</f>
        <v>24</v>
      </c>
    </row>
    <row r="688" spans="1:5">
      <c r="A688" t="s">
        <v>0</v>
      </c>
      <c r="B688" t="s">
        <v>103</v>
      </c>
      <c r="C688" s="5">
        <v>45454</v>
      </c>
      <c r="D688">
        <v>62</v>
      </c>
      <c r="E688">
        <f>WEEKNUM(Append321[[#This Row],[Date]])</f>
        <v>24</v>
      </c>
    </row>
    <row r="689" spans="1:5">
      <c r="A689" t="s">
        <v>0</v>
      </c>
      <c r="B689" t="s">
        <v>103</v>
      </c>
      <c r="C689" s="5">
        <v>45455</v>
      </c>
      <c r="D689">
        <v>45</v>
      </c>
      <c r="E689">
        <f>WEEKNUM(Append321[[#This Row],[Date]])</f>
        <v>24</v>
      </c>
    </row>
    <row r="690" spans="1:5">
      <c r="A690" t="s">
        <v>0</v>
      </c>
      <c r="B690" t="s">
        <v>103</v>
      </c>
      <c r="C690" s="5">
        <v>45456</v>
      </c>
      <c r="D690">
        <v>57</v>
      </c>
      <c r="E690">
        <f>WEEKNUM(Append321[[#This Row],[Date]])</f>
        <v>24</v>
      </c>
    </row>
    <row r="691" spans="1:5">
      <c r="A691" t="s">
        <v>0</v>
      </c>
      <c r="B691" t="s">
        <v>103</v>
      </c>
      <c r="C691" s="5">
        <v>45457</v>
      </c>
      <c r="D691">
        <v>71</v>
      </c>
      <c r="E691">
        <f>WEEKNUM(Append321[[#This Row],[Date]])</f>
        <v>24</v>
      </c>
    </row>
    <row r="692" spans="1:5">
      <c r="A692" t="s">
        <v>0</v>
      </c>
      <c r="B692" t="s">
        <v>103</v>
      </c>
      <c r="C692" s="5">
        <v>45458</v>
      </c>
      <c r="D692">
        <v>79</v>
      </c>
      <c r="E692">
        <f>WEEKNUM(Append321[[#This Row],[Date]])</f>
        <v>24</v>
      </c>
    </row>
    <row r="693" spans="1:5">
      <c r="A693" t="s">
        <v>0</v>
      </c>
      <c r="B693" t="s">
        <v>103</v>
      </c>
      <c r="C693" s="5">
        <v>45459</v>
      </c>
      <c r="D693">
        <v>45</v>
      </c>
      <c r="E693">
        <f>WEEKNUM(Append321[[#This Row],[Date]])</f>
        <v>25</v>
      </c>
    </row>
    <row r="694" spans="1:5">
      <c r="A694" t="s">
        <v>0</v>
      </c>
      <c r="B694" t="s">
        <v>103</v>
      </c>
      <c r="C694" s="5">
        <v>45460</v>
      </c>
      <c r="D694">
        <v>58</v>
      </c>
      <c r="E694">
        <f>WEEKNUM(Append321[[#This Row],[Date]])</f>
        <v>25</v>
      </c>
    </row>
    <row r="695" spans="1:5">
      <c r="A695" t="s">
        <v>0</v>
      </c>
      <c r="B695" t="s">
        <v>103</v>
      </c>
      <c r="C695" s="5">
        <v>45461</v>
      </c>
      <c r="D695">
        <v>65</v>
      </c>
      <c r="E695">
        <f>WEEKNUM(Append321[[#This Row],[Date]])</f>
        <v>25</v>
      </c>
    </row>
    <row r="696" spans="1:5">
      <c r="A696" t="s">
        <v>0</v>
      </c>
      <c r="B696" t="s">
        <v>103</v>
      </c>
      <c r="C696" s="5">
        <v>45462</v>
      </c>
      <c r="D696">
        <v>70</v>
      </c>
      <c r="E696">
        <f>WEEKNUM(Append321[[#This Row],[Date]])</f>
        <v>25</v>
      </c>
    </row>
    <row r="697" spans="1:5">
      <c r="A697" t="s">
        <v>0</v>
      </c>
      <c r="B697" t="s">
        <v>103</v>
      </c>
      <c r="C697" s="5">
        <v>45463</v>
      </c>
      <c r="D697">
        <v>62</v>
      </c>
      <c r="E697">
        <f>WEEKNUM(Append321[[#This Row],[Date]])</f>
        <v>25</v>
      </c>
    </row>
    <row r="698" spans="1:5">
      <c r="A698" t="s">
        <v>0</v>
      </c>
      <c r="B698" t="s">
        <v>103</v>
      </c>
      <c r="C698" s="5">
        <v>45464</v>
      </c>
      <c r="D698">
        <v>71</v>
      </c>
      <c r="E698">
        <f>WEEKNUM(Append321[[#This Row],[Date]])</f>
        <v>25</v>
      </c>
    </row>
    <row r="699" spans="1:5">
      <c r="A699" t="s">
        <v>0</v>
      </c>
      <c r="B699" t="s">
        <v>103</v>
      </c>
      <c r="C699" s="5">
        <v>45465</v>
      </c>
      <c r="D699">
        <v>72</v>
      </c>
      <c r="E699">
        <f>WEEKNUM(Append321[[#This Row],[Date]])</f>
        <v>25</v>
      </c>
    </row>
    <row r="700" spans="1:5">
      <c r="A700" t="s">
        <v>0</v>
      </c>
      <c r="B700" t="s">
        <v>103</v>
      </c>
      <c r="C700" s="5">
        <v>45466</v>
      </c>
      <c r="D700">
        <v>53</v>
      </c>
      <c r="E700">
        <f>WEEKNUM(Append321[[#This Row],[Date]])</f>
        <v>26</v>
      </c>
    </row>
    <row r="701" spans="1:5">
      <c r="A701" t="s">
        <v>0</v>
      </c>
      <c r="B701" t="s">
        <v>103</v>
      </c>
      <c r="C701" s="5">
        <v>45467</v>
      </c>
      <c r="D701">
        <v>64</v>
      </c>
      <c r="E701">
        <f>WEEKNUM(Append321[[#This Row],[Date]])</f>
        <v>26</v>
      </c>
    </row>
    <row r="702" spans="1:5">
      <c r="A702" t="s">
        <v>0</v>
      </c>
      <c r="B702" t="s">
        <v>103</v>
      </c>
      <c r="C702" s="5">
        <v>45468</v>
      </c>
      <c r="D702">
        <v>69</v>
      </c>
      <c r="E702">
        <f>WEEKNUM(Append321[[#This Row],[Date]])</f>
        <v>26</v>
      </c>
    </row>
    <row r="703" spans="1:5">
      <c r="A703" t="s">
        <v>0</v>
      </c>
      <c r="B703" t="s">
        <v>103</v>
      </c>
      <c r="C703" s="5">
        <v>45469</v>
      </c>
      <c r="D703">
        <v>74</v>
      </c>
      <c r="E703">
        <f>WEEKNUM(Append321[[#This Row],[Date]])</f>
        <v>26</v>
      </c>
    </row>
    <row r="704" spans="1:5">
      <c r="A704" t="s">
        <v>0</v>
      </c>
      <c r="B704" t="s">
        <v>103</v>
      </c>
      <c r="C704" s="5">
        <v>45470</v>
      </c>
      <c r="D704">
        <v>67</v>
      </c>
      <c r="E704">
        <f>WEEKNUM(Append321[[#This Row],[Date]])</f>
        <v>26</v>
      </c>
    </row>
    <row r="705" spans="1:5">
      <c r="A705" t="s">
        <v>0</v>
      </c>
      <c r="B705" t="s">
        <v>103</v>
      </c>
      <c r="C705" s="5">
        <v>45471</v>
      </c>
      <c r="D705">
        <v>85</v>
      </c>
      <c r="E705">
        <f>WEEKNUM(Append321[[#This Row],[Date]])</f>
        <v>26</v>
      </c>
    </row>
    <row r="706" spans="1:5">
      <c r="A706" t="s">
        <v>0</v>
      </c>
      <c r="B706" t="s">
        <v>103</v>
      </c>
      <c r="C706" s="5">
        <v>45472</v>
      </c>
      <c r="D706">
        <v>79</v>
      </c>
      <c r="E706">
        <f>WEEKNUM(Append321[[#This Row],[Date]])</f>
        <v>26</v>
      </c>
    </row>
    <row r="707" spans="1:5">
      <c r="A707" t="s">
        <v>0</v>
      </c>
      <c r="B707" t="s">
        <v>103</v>
      </c>
      <c r="C707" s="5">
        <v>45473</v>
      </c>
      <c r="D707">
        <v>83</v>
      </c>
      <c r="E707">
        <f>WEEKNUM(Append321[[#This Row],[Date]])</f>
        <v>27</v>
      </c>
    </row>
    <row r="708" spans="1:5">
      <c r="A708" t="s">
        <v>0</v>
      </c>
      <c r="B708" t="s">
        <v>103</v>
      </c>
      <c r="C708" s="5">
        <v>45474</v>
      </c>
      <c r="D708">
        <v>98</v>
      </c>
      <c r="E708">
        <f>WEEKNUM(Append321[[#This Row],[Date]])</f>
        <v>27</v>
      </c>
    </row>
    <row r="709" spans="1:5">
      <c r="A709" t="s">
        <v>0</v>
      </c>
      <c r="B709" t="s">
        <v>103</v>
      </c>
      <c r="C709" s="5">
        <v>45475</v>
      </c>
      <c r="D709">
        <v>108</v>
      </c>
      <c r="E709">
        <f>WEEKNUM(Append321[[#This Row],[Date]])</f>
        <v>27</v>
      </c>
    </row>
    <row r="710" spans="1:5">
      <c r="A710" t="s">
        <v>0</v>
      </c>
      <c r="B710" t="s">
        <v>103</v>
      </c>
      <c r="C710" s="5">
        <v>45476</v>
      </c>
      <c r="D710">
        <v>66</v>
      </c>
      <c r="E710">
        <f>WEEKNUM(Append321[[#This Row],[Date]])</f>
        <v>27</v>
      </c>
    </row>
    <row r="711" spans="1:5">
      <c r="A711" t="s">
        <v>0</v>
      </c>
      <c r="B711" t="s">
        <v>103</v>
      </c>
      <c r="C711" s="5">
        <v>45477</v>
      </c>
      <c r="D711">
        <v>63</v>
      </c>
      <c r="E711">
        <f>WEEKNUM(Append321[[#This Row],[Date]])</f>
        <v>27</v>
      </c>
    </row>
    <row r="712" spans="1:5">
      <c r="A712" t="s">
        <v>0</v>
      </c>
      <c r="B712" t="s">
        <v>103</v>
      </c>
      <c r="C712" s="5">
        <v>45478</v>
      </c>
      <c r="D712">
        <v>78</v>
      </c>
      <c r="E712">
        <f>WEEKNUM(Append321[[#This Row],[Date]])</f>
        <v>27</v>
      </c>
    </row>
    <row r="713" spans="1:5">
      <c r="A713" t="s">
        <v>0</v>
      </c>
      <c r="B713" t="s">
        <v>103</v>
      </c>
      <c r="C713" s="5">
        <v>45479</v>
      </c>
      <c r="D713">
        <v>83</v>
      </c>
      <c r="E713">
        <f>WEEKNUM(Append321[[#This Row],[Date]])</f>
        <v>27</v>
      </c>
    </row>
    <row r="714" spans="1:5">
      <c r="A714" t="s">
        <v>0</v>
      </c>
      <c r="B714" t="s">
        <v>103</v>
      </c>
      <c r="C714" s="5">
        <v>45480</v>
      </c>
      <c r="D714">
        <v>69</v>
      </c>
      <c r="E714">
        <f>WEEKNUM(Append321[[#This Row],[Date]])</f>
        <v>28</v>
      </c>
    </row>
    <row r="715" spans="1:5">
      <c r="A715" t="s">
        <v>0</v>
      </c>
      <c r="B715" t="s">
        <v>103</v>
      </c>
      <c r="C715" s="5">
        <v>45481</v>
      </c>
      <c r="D715">
        <v>65</v>
      </c>
      <c r="E715">
        <f>WEEKNUM(Append321[[#This Row],[Date]])</f>
        <v>28</v>
      </c>
    </row>
    <row r="716" spans="1:5">
      <c r="A716" t="s">
        <v>0</v>
      </c>
      <c r="B716" t="s">
        <v>103</v>
      </c>
      <c r="C716" s="5">
        <v>45482</v>
      </c>
      <c r="D716">
        <v>92</v>
      </c>
      <c r="E716">
        <f>WEEKNUM(Append321[[#This Row],[Date]])</f>
        <v>28</v>
      </c>
    </row>
    <row r="717" spans="1:5">
      <c r="A717" t="s">
        <v>0</v>
      </c>
      <c r="B717" t="s">
        <v>103</v>
      </c>
      <c r="C717" s="5">
        <v>45483</v>
      </c>
      <c r="D717">
        <v>110</v>
      </c>
      <c r="E717">
        <f>WEEKNUM(Append321[[#This Row],[Date]])</f>
        <v>28</v>
      </c>
    </row>
    <row r="718" spans="1:5">
      <c r="A718" t="s">
        <v>0</v>
      </c>
      <c r="B718" t="s">
        <v>103</v>
      </c>
      <c r="C718" s="5">
        <v>45484</v>
      </c>
      <c r="D718">
        <v>83</v>
      </c>
      <c r="E718">
        <f>WEEKNUM(Append321[[#This Row],[Date]])</f>
        <v>28</v>
      </c>
    </row>
    <row r="719" spans="1:5">
      <c r="A719" t="s">
        <v>0</v>
      </c>
      <c r="B719" t="s">
        <v>103</v>
      </c>
      <c r="C719" s="5">
        <v>45485</v>
      </c>
      <c r="D719">
        <v>120</v>
      </c>
      <c r="E719">
        <f>WEEKNUM(Append321[[#This Row],[Date]])</f>
        <v>28</v>
      </c>
    </row>
    <row r="720" spans="1:5">
      <c r="A720" t="s">
        <v>0</v>
      </c>
      <c r="B720" t="s">
        <v>103</v>
      </c>
      <c r="C720" s="5">
        <v>45486</v>
      </c>
      <c r="D720">
        <v>126</v>
      </c>
      <c r="E720">
        <f>WEEKNUM(Append321[[#This Row],[Date]])</f>
        <v>28</v>
      </c>
    </row>
    <row r="721" spans="1:5">
      <c r="A721" t="s">
        <v>0</v>
      </c>
      <c r="B721" t="s">
        <v>103</v>
      </c>
      <c r="C721" s="5">
        <v>45487</v>
      </c>
      <c r="D721">
        <v>98</v>
      </c>
      <c r="E721">
        <f>WEEKNUM(Append321[[#This Row],[Date]])</f>
        <v>29</v>
      </c>
    </row>
    <row r="722" spans="1:5">
      <c r="A722" t="s">
        <v>0</v>
      </c>
      <c r="B722" t="s">
        <v>103</v>
      </c>
      <c r="C722" s="5">
        <v>45488</v>
      </c>
      <c r="D722">
        <v>86</v>
      </c>
      <c r="E722">
        <f>WEEKNUM(Append321[[#This Row],[Date]])</f>
        <v>29</v>
      </c>
    </row>
    <row r="723" spans="1:5">
      <c r="A723" t="s">
        <v>0</v>
      </c>
      <c r="B723" t="s">
        <v>103</v>
      </c>
      <c r="C723" s="5">
        <v>45489</v>
      </c>
      <c r="D723">
        <v>98</v>
      </c>
      <c r="E723">
        <f>WEEKNUM(Append321[[#This Row],[Date]])</f>
        <v>29</v>
      </c>
    </row>
    <row r="724" spans="1:5">
      <c r="A724" t="s">
        <v>0</v>
      </c>
      <c r="B724" t="s">
        <v>103</v>
      </c>
      <c r="C724" s="5">
        <v>45490</v>
      </c>
      <c r="D724">
        <v>102</v>
      </c>
      <c r="E724">
        <f>WEEKNUM(Append321[[#This Row],[Date]])</f>
        <v>29</v>
      </c>
    </row>
    <row r="725" spans="1:5">
      <c r="A725" t="s">
        <v>0</v>
      </c>
      <c r="B725" t="s">
        <v>103</v>
      </c>
      <c r="C725" s="5">
        <v>45491</v>
      </c>
      <c r="D725">
        <v>112</v>
      </c>
      <c r="E725">
        <f>WEEKNUM(Append321[[#This Row],[Date]])</f>
        <v>29</v>
      </c>
    </row>
    <row r="726" spans="1:5">
      <c r="A726" t="s">
        <v>0</v>
      </c>
      <c r="B726" t="s">
        <v>103</v>
      </c>
      <c r="C726" s="5">
        <v>45492</v>
      </c>
      <c r="D726">
        <v>77</v>
      </c>
      <c r="E726">
        <f>WEEKNUM(Append321[[#This Row],[Date]])</f>
        <v>29</v>
      </c>
    </row>
    <row r="727" spans="1:5">
      <c r="A727" t="s">
        <v>0</v>
      </c>
      <c r="B727" t="s">
        <v>103</v>
      </c>
      <c r="C727" s="5">
        <v>45493</v>
      </c>
      <c r="D727">
        <v>105</v>
      </c>
      <c r="E727">
        <f>WEEKNUM(Append321[[#This Row],[Date]])</f>
        <v>29</v>
      </c>
    </row>
    <row r="728" spans="1:5">
      <c r="A728" t="s">
        <v>0</v>
      </c>
      <c r="B728" t="s">
        <v>103</v>
      </c>
      <c r="C728" s="5">
        <v>45494</v>
      </c>
      <c r="D728">
        <v>110</v>
      </c>
      <c r="E728">
        <f>WEEKNUM(Append321[[#This Row],[Date]])</f>
        <v>30</v>
      </c>
    </row>
    <row r="729" spans="1:5">
      <c r="A729" t="s">
        <v>0</v>
      </c>
      <c r="B729" t="s">
        <v>103</v>
      </c>
      <c r="C729" s="5">
        <v>45495</v>
      </c>
      <c r="D729">
        <v>86</v>
      </c>
      <c r="E729">
        <f>WEEKNUM(Append321[[#This Row],[Date]])</f>
        <v>30</v>
      </c>
    </row>
    <row r="730" spans="1:5">
      <c r="A730" t="s">
        <v>0</v>
      </c>
      <c r="B730" t="s">
        <v>103</v>
      </c>
      <c r="C730" s="5">
        <v>45496</v>
      </c>
      <c r="D730">
        <v>96</v>
      </c>
      <c r="E730">
        <f>WEEKNUM(Append321[[#This Row],[Date]])</f>
        <v>30</v>
      </c>
    </row>
    <row r="731" spans="1:5">
      <c r="A731" t="s">
        <v>0</v>
      </c>
      <c r="B731" t="s">
        <v>103</v>
      </c>
      <c r="C731" s="5">
        <v>45497</v>
      </c>
      <c r="D731">
        <v>99</v>
      </c>
      <c r="E731">
        <f>WEEKNUM(Append321[[#This Row],[Date]])</f>
        <v>30</v>
      </c>
    </row>
    <row r="732" spans="1:5">
      <c r="A732" t="s">
        <v>0</v>
      </c>
      <c r="B732" t="s">
        <v>103</v>
      </c>
      <c r="C732" s="5">
        <v>45498</v>
      </c>
      <c r="D732">
        <v>86</v>
      </c>
      <c r="E732">
        <f>WEEKNUM(Append321[[#This Row],[Date]])</f>
        <v>30</v>
      </c>
    </row>
    <row r="733" spans="1:5">
      <c r="A733" t="s">
        <v>0</v>
      </c>
      <c r="B733" t="s">
        <v>103</v>
      </c>
      <c r="C733" s="5">
        <v>45499</v>
      </c>
      <c r="D733">
        <v>97</v>
      </c>
      <c r="E733">
        <f>WEEKNUM(Append321[[#This Row],[Date]])</f>
        <v>30</v>
      </c>
    </row>
    <row r="734" spans="1:5">
      <c r="A734" t="s">
        <v>0</v>
      </c>
      <c r="B734" t="s">
        <v>103</v>
      </c>
      <c r="C734" s="5">
        <v>45500</v>
      </c>
      <c r="D734">
        <v>109</v>
      </c>
      <c r="E734">
        <f>WEEKNUM(Append321[[#This Row],[Date]])</f>
        <v>30</v>
      </c>
    </row>
    <row r="735" spans="1:5">
      <c r="A735" t="s">
        <v>0</v>
      </c>
      <c r="B735" t="s">
        <v>103</v>
      </c>
      <c r="C735" s="5">
        <v>45501</v>
      </c>
      <c r="D735">
        <v>95</v>
      </c>
      <c r="E735">
        <f>WEEKNUM(Append321[[#This Row],[Date]])</f>
        <v>31</v>
      </c>
    </row>
    <row r="736" spans="1:5">
      <c r="A736" t="s">
        <v>0</v>
      </c>
      <c r="B736" t="s">
        <v>103</v>
      </c>
      <c r="C736" s="5">
        <v>45502</v>
      </c>
      <c r="D736">
        <v>83</v>
      </c>
      <c r="E736">
        <f>WEEKNUM(Append321[[#This Row],[Date]])</f>
        <v>31</v>
      </c>
    </row>
    <row r="737" spans="1:5">
      <c r="A737" t="s">
        <v>0</v>
      </c>
      <c r="B737" t="s">
        <v>103</v>
      </c>
      <c r="C737" s="5">
        <v>45503</v>
      </c>
      <c r="D737">
        <v>109</v>
      </c>
      <c r="E737">
        <f>WEEKNUM(Append321[[#This Row],[Date]])</f>
        <v>31</v>
      </c>
    </row>
    <row r="738" spans="1:5">
      <c r="A738" t="s">
        <v>0</v>
      </c>
      <c r="B738" t="s">
        <v>103</v>
      </c>
      <c r="C738" s="5">
        <v>45504</v>
      </c>
      <c r="D738">
        <v>95</v>
      </c>
      <c r="E738">
        <f>WEEKNUM(Append321[[#This Row],[Date]])</f>
        <v>31</v>
      </c>
    </row>
    <row r="739" spans="1:5">
      <c r="A739" t="s">
        <v>0</v>
      </c>
      <c r="B739" t="s">
        <v>103</v>
      </c>
      <c r="C739" s="5">
        <v>45505</v>
      </c>
      <c r="D739">
        <v>107</v>
      </c>
      <c r="E739">
        <f>WEEKNUM(Append321[[#This Row],[Date]])</f>
        <v>31</v>
      </c>
    </row>
    <row r="740" spans="1:5">
      <c r="A740" t="s">
        <v>0</v>
      </c>
      <c r="B740" t="s">
        <v>103</v>
      </c>
      <c r="C740" s="5">
        <v>45506</v>
      </c>
      <c r="D740">
        <v>138</v>
      </c>
      <c r="E740">
        <f>WEEKNUM(Append321[[#This Row],[Date]])</f>
        <v>31</v>
      </c>
    </row>
    <row r="741" spans="1:5">
      <c r="A741" t="s">
        <v>0</v>
      </c>
      <c r="B741" t="s">
        <v>103</v>
      </c>
      <c r="C741" s="5">
        <v>45507</v>
      </c>
      <c r="D741">
        <v>157</v>
      </c>
      <c r="E741">
        <f>WEEKNUM(Append321[[#This Row],[Date]])</f>
        <v>31</v>
      </c>
    </row>
    <row r="742" spans="1:5">
      <c r="A742" t="s">
        <v>0</v>
      </c>
      <c r="B742" t="s">
        <v>103</v>
      </c>
      <c r="C742" s="5">
        <v>45508</v>
      </c>
      <c r="D742">
        <v>117</v>
      </c>
      <c r="E742">
        <f>WEEKNUM(Append321[[#This Row],[Date]])</f>
        <v>32</v>
      </c>
    </row>
    <row r="743" spans="1:5">
      <c r="A743" t="s">
        <v>0</v>
      </c>
      <c r="B743" t="s">
        <v>103</v>
      </c>
      <c r="C743" s="5">
        <v>45509</v>
      </c>
      <c r="D743">
        <v>118</v>
      </c>
      <c r="E743">
        <f>WEEKNUM(Append321[[#This Row],[Date]])</f>
        <v>32</v>
      </c>
    </row>
    <row r="744" spans="1:5">
      <c r="A744" t="s">
        <v>0</v>
      </c>
      <c r="B744" t="s">
        <v>103</v>
      </c>
      <c r="C744" s="5">
        <v>45510</v>
      </c>
      <c r="D744">
        <v>136</v>
      </c>
      <c r="E744">
        <f>WEEKNUM(Append321[[#This Row],[Date]])</f>
        <v>32</v>
      </c>
    </row>
    <row r="745" spans="1:5">
      <c r="A745" t="s">
        <v>0</v>
      </c>
      <c r="B745" t="s">
        <v>103</v>
      </c>
      <c r="C745" s="5">
        <v>45511</v>
      </c>
      <c r="D745">
        <v>140</v>
      </c>
      <c r="E745">
        <f>WEEKNUM(Append321[[#This Row],[Date]])</f>
        <v>32</v>
      </c>
    </row>
    <row r="746" spans="1:5">
      <c r="A746" t="s">
        <v>0</v>
      </c>
      <c r="B746" t="s">
        <v>103</v>
      </c>
      <c r="C746" s="5">
        <v>45512</v>
      </c>
      <c r="D746">
        <v>141</v>
      </c>
      <c r="E746">
        <f>WEEKNUM(Append321[[#This Row],[Date]])</f>
        <v>32</v>
      </c>
    </row>
    <row r="747" spans="1:5">
      <c r="A747" t="s">
        <v>0</v>
      </c>
      <c r="B747" t="s">
        <v>103</v>
      </c>
      <c r="C747" s="5">
        <v>45513</v>
      </c>
      <c r="D747">
        <v>122</v>
      </c>
      <c r="E747">
        <f>WEEKNUM(Append321[[#This Row],[Date]])</f>
        <v>32</v>
      </c>
    </row>
    <row r="748" spans="1:5">
      <c r="A748" t="s">
        <v>0</v>
      </c>
      <c r="B748" t="s">
        <v>103</v>
      </c>
      <c r="C748" s="5">
        <v>45514</v>
      </c>
      <c r="D748">
        <v>137</v>
      </c>
      <c r="E748">
        <f>WEEKNUM(Append321[[#This Row],[Date]])</f>
        <v>32</v>
      </c>
    </row>
    <row r="749" spans="1:5">
      <c r="A749" t="s">
        <v>0</v>
      </c>
      <c r="B749" t="s">
        <v>103</v>
      </c>
      <c r="C749" s="5">
        <v>45515</v>
      </c>
      <c r="D749">
        <v>106</v>
      </c>
      <c r="E749">
        <f>WEEKNUM(Append321[[#This Row],[Date]])</f>
        <v>33</v>
      </c>
    </row>
    <row r="750" spans="1:5">
      <c r="A750" t="s">
        <v>0</v>
      </c>
      <c r="B750" t="s">
        <v>103</v>
      </c>
      <c r="C750" s="5">
        <v>45516</v>
      </c>
      <c r="D750">
        <v>137</v>
      </c>
      <c r="E750">
        <f>WEEKNUM(Append321[[#This Row],[Date]])</f>
        <v>33</v>
      </c>
    </row>
    <row r="751" spans="1:5">
      <c r="A751" t="s">
        <v>0</v>
      </c>
      <c r="B751" t="s">
        <v>103</v>
      </c>
      <c r="C751" s="5">
        <v>45517</v>
      </c>
      <c r="D751">
        <v>121</v>
      </c>
      <c r="E751">
        <f>WEEKNUM(Append321[[#This Row],[Date]])</f>
        <v>33</v>
      </c>
    </row>
    <row r="752" spans="1:5">
      <c r="A752" t="s">
        <v>0</v>
      </c>
      <c r="B752" t="s">
        <v>103</v>
      </c>
      <c r="C752" s="5">
        <v>45518</v>
      </c>
      <c r="D752">
        <v>129</v>
      </c>
      <c r="E752">
        <f>WEEKNUM(Append321[[#This Row],[Date]])</f>
        <v>33</v>
      </c>
    </row>
    <row r="753" spans="1:5">
      <c r="A753" t="s">
        <v>0</v>
      </c>
      <c r="B753" t="s">
        <v>103</v>
      </c>
      <c r="C753" s="5">
        <v>45519</v>
      </c>
      <c r="D753">
        <v>178</v>
      </c>
      <c r="E753">
        <f>WEEKNUM(Append321[[#This Row],[Date]])</f>
        <v>33</v>
      </c>
    </row>
    <row r="754" spans="1:5">
      <c r="A754" t="s">
        <v>0</v>
      </c>
      <c r="B754" t="s">
        <v>103</v>
      </c>
      <c r="C754" s="5">
        <v>45520</v>
      </c>
      <c r="D754">
        <v>149</v>
      </c>
      <c r="E754">
        <f>WEEKNUM(Append321[[#This Row],[Date]])</f>
        <v>33</v>
      </c>
    </row>
    <row r="755" spans="1:5">
      <c r="A755" t="s">
        <v>0</v>
      </c>
      <c r="B755" t="s">
        <v>103</v>
      </c>
      <c r="C755" s="5">
        <v>45521</v>
      </c>
      <c r="D755">
        <v>144</v>
      </c>
      <c r="E755">
        <f>WEEKNUM(Append321[[#This Row],[Date]])</f>
        <v>33</v>
      </c>
    </row>
    <row r="756" spans="1:5">
      <c r="A756" t="s">
        <v>0</v>
      </c>
      <c r="B756" t="s">
        <v>103</v>
      </c>
      <c r="C756" s="5">
        <v>45522</v>
      </c>
      <c r="D756">
        <v>125</v>
      </c>
      <c r="E756">
        <f>WEEKNUM(Append321[[#This Row],[Date]])</f>
        <v>34</v>
      </c>
    </row>
    <row r="757" spans="1:5">
      <c r="A757" t="s">
        <v>0</v>
      </c>
      <c r="B757" t="s">
        <v>103</v>
      </c>
      <c r="C757" s="5">
        <v>45523</v>
      </c>
      <c r="D757">
        <v>106</v>
      </c>
      <c r="E757">
        <f>WEEKNUM(Append321[[#This Row],[Date]])</f>
        <v>34</v>
      </c>
    </row>
    <row r="758" spans="1:5">
      <c r="A758" t="s">
        <v>0</v>
      </c>
      <c r="B758" t="s">
        <v>103</v>
      </c>
      <c r="C758" s="5">
        <v>45524</v>
      </c>
      <c r="D758">
        <v>144</v>
      </c>
      <c r="E758">
        <f>WEEKNUM(Append321[[#This Row],[Date]])</f>
        <v>34</v>
      </c>
    </row>
    <row r="759" spans="1:5">
      <c r="A759" t="s">
        <v>0</v>
      </c>
      <c r="B759" t="s">
        <v>103</v>
      </c>
      <c r="C759" s="5">
        <v>45525</v>
      </c>
      <c r="D759">
        <v>136</v>
      </c>
      <c r="E759">
        <f>WEEKNUM(Append321[[#This Row],[Date]])</f>
        <v>34</v>
      </c>
    </row>
    <row r="760" spans="1:5">
      <c r="A760" t="s">
        <v>0</v>
      </c>
      <c r="B760" t="s">
        <v>103</v>
      </c>
      <c r="C760" s="5">
        <v>45526</v>
      </c>
      <c r="D760">
        <v>106</v>
      </c>
      <c r="E760">
        <f>WEEKNUM(Append321[[#This Row],[Date]])</f>
        <v>34</v>
      </c>
    </row>
    <row r="761" spans="1:5">
      <c r="A761" t="s">
        <v>0</v>
      </c>
      <c r="B761" t="s">
        <v>103</v>
      </c>
      <c r="C761" s="5">
        <v>45527</v>
      </c>
      <c r="D761">
        <v>126</v>
      </c>
      <c r="E761">
        <f>WEEKNUM(Append321[[#This Row],[Date]])</f>
        <v>34</v>
      </c>
    </row>
    <row r="762" spans="1:5">
      <c r="A762" t="s">
        <v>0</v>
      </c>
      <c r="B762" t="s">
        <v>103</v>
      </c>
      <c r="C762" s="5">
        <v>45528</v>
      </c>
      <c r="D762">
        <v>167</v>
      </c>
      <c r="E762">
        <f>WEEKNUM(Append321[[#This Row],[Date]])</f>
        <v>34</v>
      </c>
    </row>
    <row r="763" spans="1:5">
      <c r="A763" t="s">
        <v>0</v>
      </c>
      <c r="B763" t="s">
        <v>103</v>
      </c>
      <c r="C763" s="5">
        <v>45529</v>
      </c>
      <c r="D763">
        <v>134</v>
      </c>
      <c r="E763">
        <f>WEEKNUM(Append321[[#This Row],[Date]])</f>
        <v>35</v>
      </c>
    </row>
    <row r="764" spans="1:5">
      <c r="A764" t="s">
        <v>0</v>
      </c>
      <c r="B764" t="s">
        <v>103</v>
      </c>
      <c r="C764" s="5">
        <v>45530</v>
      </c>
      <c r="D764">
        <v>148</v>
      </c>
      <c r="E764">
        <f>WEEKNUM(Append321[[#This Row],[Date]])</f>
        <v>35</v>
      </c>
    </row>
    <row r="765" spans="1:5">
      <c r="A765" t="s">
        <v>0</v>
      </c>
      <c r="B765" t="s">
        <v>103</v>
      </c>
      <c r="C765" s="5">
        <v>45531</v>
      </c>
      <c r="D765">
        <v>126</v>
      </c>
      <c r="E765">
        <f>WEEKNUM(Append321[[#This Row],[Date]])</f>
        <v>35</v>
      </c>
    </row>
    <row r="766" spans="1:5">
      <c r="A766" t="s">
        <v>0</v>
      </c>
      <c r="B766" t="s">
        <v>103</v>
      </c>
      <c r="C766" s="5">
        <v>45532</v>
      </c>
      <c r="D766">
        <v>130</v>
      </c>
      <c r="E766">
        <f>WEEKNUM(Append321[[#This Row],[Date]])</f>
        <v>35</v>
      </c>
    </row>
    <row r="767" spans="1:5">
      <c r="A767" t="s">
        <v>0</v>
      </c>
      <c r="B767" t="s">
        <v>103</v>
      </c>
      <c r="C767" s="5">
        <v>45533</v>
      </c>
      <c r="D767">
        <v>141</v>
      </c>
      <c r="E767">
        <f>WEEKNUM(Append321[[#This Row],[Date]])</f>
        <v>35</v>
      </c>
    </row>
    <row r="768" spans="1:5">
      <c r="A768" t="s">
        <v>0</v>
      </c>
      <c r="B768" t="s">
        <v>103</v>
      </c>
      <c r="C768" s="5">
        <v>45534</v>
      </c>
      <c r="D768">
        <v>155</v>
      </c>
      <c r="E768">
        <f>WEEKNUM(Append321[[#This Row],[Date]])</f>
        <v>35</v>
      </c>
    </row>
    <row r="769" spans="1:5">
      <c r="A769" t="s">
        <v>0</v>
      </c>
      <c r="B769" t="s">
        <v>103</v>
      </c>
      <c r="C769" s="5">
        <v>45535</v>
      </c>
      <c r="D769">
        <v>140</v>
      </c>
      <c r="E769">
        <f>WEEKNUM(Append321[[#This Row],[Date]])</f>
        <v>35</v>
      </c>
    </row>
    <row r="770" spans="1:5">
      <c r="A770" t="s">
        <v>0</v>
      </c>
      <c r="B770" t="s">
        <v>104</v>
      </c>
      <c r="C770" s="5">
        <v>45444</v>
      </c>
      <c r="D770">
        <v>312</v>
      </c>
      <c r="E770">
        <f>WEEKNUM(Append321[[#This Row],[Date]])</f>
        <v>22</v>
      </c>
    </row>
    <row r="771" spans="1:5">
      <c r="A771" t="s">
        <v>0</v>
      </c>
      <c r="B771" t="s">
        <v>104</v>
      </c>
      <c r="C771" s="5">
        <v>45445</v>
      </c>
      <c r="D771">
        <v>222</v>
      </c>
      <c r="E771">
        <f>WEEKNUM(Append321[[#This Row],[Date]])</f>
        <v>23</v>
      </c>
    </row>
    <row r="772" spans="1:5">
      <c r="A772" t="s">
        <v>0</v>
      </c>
      <c r="B772" t="s">
        <v>104</v>
      </c>
      <c r="C772" s="5">
        <v>45446</v>
      </c>
      <c r="D772">
        <v>267</v>
      </c>
      <c r="E772">
        <f>WEEKNUM(Append321[[#This Row],[Date]])</f>
        <v>23</v>
      </c>
    </row>
    <row r="773" spans="1:5">
      <c r="A773" t="s">
        <v>0</v>
      </c>
      <c r="B773" t="s">
        <v>104</v>
      </c>
      <c r="C773" s="5">
        <v>45447</v>
      </c>
      <c r="D773">
        <v>225</v>
      </c>
      <c r="E773">
        <f>WEEKNUM(Append321[[#This Row],[Date]])</f>
        <v>23</v>
      </c>
    </row>
    <row r="774" spans="1:5">
      <c r="A774" t="s">
        <v>0</v>
      </c>
      <c r="B774" t="s">
        <v>104</v>
      </c>
      <c r="C774" s="5">
        <v>45448</v>
      </c>
      <c r="D774">
        <v>258</v>
      </c>
      <c r="E774">
        <f>WEEKNUM(Append321[[#This Row],[Date]])</f>
        <v>23</v>
      </c>
    </row>
    <row r="775" spans="1:5">
      <c r="A775" t="s">
        <v>0</v>
      </c>
      <c r="B775" t="s">
        <v>104</v>
      </c>
      <c r="C775" s="5">
        <v>45449</v>
      </c>
      <c r="D775">
        <v>239</v>
      </c>
      <c r="E775">
        <f>WEEKNUM(Append321[[#This Row],[Date]])</f>
        <v>23</v>
      </c>
    </row>
    <row r="776" spans="1:5">
      <c r="A776" t="s">
        <v>0</v>
      </c>
      <c r="B776" t="s">
        <v>104</v>
      </c>
      <c r="C776" s="5">
        <v>45450</v>
      </c>
      <c r="D776">
        <v>288</v>
      </c>
      <c r="E776">
        <f>WEEKNUM(Append321[[#This Row],[Date]])</f>
        <v>23</v>
      </c>
    </row>
    <row r="777" spans="1:5">
      <c r="A777" t="s">
        <v>0</v>
      </c>
      <c r="B777" t="s">
        <v>104</v>
      </c>
      <c r="C777" s="5">
        <v>45451</v>
      </c>
      <c r="D777">
        <v>254</v>
      </c>
      <c r="E777">
        <f>WEEKNUM(Append321[[#This Row],[Date]])</f>
        <v>23</v>
      </c>
    </row>
    <row r="778" spans="1:5">
      <c r="A778" t="s">
        <v>0</v>
      </c>
      <c r="B778" t="s">
        <v>104</v>
      </c>
      <c r="C778" s="5">
        <v>45452</v>
      </c>
      <c r="D778">
        <v>233</v>
      </c>
      <c r="E778">
        <f>WEEKNUM(Append321[[#This Row],[Date]])</f>
        <v>24</v>
      </c>
    </row>
    <row r="779" spans="1:5">
      <c r="A779" t="s">
        <v>0</v>
      </c>
      <c r="B779" t="s">
        <v>104</v>
      </c>
      <c r="C779" s="5">
        <v>45453</v>
      </c>
      <c r="D779">
        <v>220</v>
      </c>
      <c r="E779">
        <f>WEEKNUM(Append321[[#This Row],[Date]])</f>
        <v>24</v>
      </c>
    </row>
    <row r="780" spans="1:5">
      <c r="A780" t="s">
        <v>0</v>
      </c>
      <c r="B780" t="s">
        <v>104</v>
      </c>
      <c r="C780" s="5">
        <v>45454</v>
      </c>
      <c r="D780">
        <v>223</v>
      </c>
      <c r="E780">
        <f>WEEKNUM(Append321[[#This Row],[Date]])</f>
        <v>24</v>
      </c>
    </row>
    <row r="781" spans="1:5">
      <c r="A781" t="s">
        <v>0</v>
      </c>
      <c r="B781" t="s">
        <v>104</v>
      </c>
      <c r="C781" s="5">
        <v>45455</v>
      </c>
      <c r="D781">
        <v>209</v>
      </c>
      <c r="E781">
        <f>WEEKNUM(Append321[[#This Row],[Date]])</f>
        <v>24</v>
      </c>
    </row>
    <row r="782" spans="1:5">
      <c r="A782" t="s">
        <v>0</v>
      </c>
      <c r="B782" t="s">
        <v>104</v>
      </c>
      <c r="C782" s="5">
        <v>45456</v>
      </c>
      <c r="D782">
        <v>239</v>
      </c>
      <c r="E782">
        <f>WEEKNUM(Append321[[#This Row],[Date]])</f>
        <v>24</v>
      </c>
    </row>
    <row r="783" spans="1:5">
      <c r="A783" t="s">
        <v>0</v>
      </c>
      <c r="B783" t="s">
        <v>104</v>
      </c>
      <c r="C783" s="5">
        <v>45457</v>
      </c>
      <c r="D783">
        <v>276</v>
      </c>
      <c r="E783">
        <f>WEEKNUM(Append321[[#This Row],[Date]])</f>
        <v>24</v>
      </c>
    </row>
    <row r="784" spans="1:5">
      <c r="A784" t="s">
        <v>0</v>
      </c>
      <c r="B784" t="s">
        <v>104</v>
      </c>
      <c r="C784" s="5">
        <v>45458</v>
      </c>
      <c r="D784">
        <v>313</v>
      </c>
      <c r="E784">
        <f>WEEKNUM(Append321[[#This Row],[Date]])</f>
        <v>24</v>
      </c>
    </row>
    <row r="785" spans="1:5">
      <c r="A785" t="s">
        <v>0</v>
      </c>
      <c r="B785" t="s">
        <v>104</v>
      </c>
      <c r="C785" s="5">
        <v>45459</v>
      </c>
      <c r="D785">
        <v>235</v>
      </c>
      <c r="E785">
        <f>WEEKNUM(Append321[[#This Row],[Date]])</f>
        <v>25</v>
      </c>
    </row>
    <row r="786" spans="1:5">
      <c r="A786" t="s">
        <v>0</v>
      </c>
      <c r="B786" t="s">
        <v>104</v>
      </c>
      <c r="C786" s="5">
        <v>45460</v>
      </c>
      <c r="D786">
        <v>240</v>
      </c>
      <c r="E786">
        <f>WEEKNUM(Append321[[#This Row],[Date]])</f>
        <v>25</v>
      </c>
    </row>
    <row r="787" spans="1:5">
      <c r="A787" t="s">
        <v>0</v>
      </c>
      <c r="B787" t="s">
        <v>104</v>
      </c>
      <c r="C787" s="5">
        <v>45461</v>
      </c>
      <c r="D787">
        <v>223</v>
      </c>
      <c r="E787">
        <f>WEEKNUM(Append321[[#This Row],[Date]])</f>
        <v>25</v>
      </c>
    </row>
    <row r="788" spans="1:5">
      <c r="A788" t="s">
        <v>0</v>
      </c>
      <c r="B788" t="s">
        <v>104</v>
      </c>
      <c r="C788" s="5">
        <v>45462</v>
      </c>
      <c r="D788">
        <v>248</v>
      </c>
      <c r="E788">
        <f>WEEKNUM(Append321[[#This Row],[Date]])</f>
        <v>25</v>
      </c>
    </row>
    <row r="789" spans="1:5">
      <c r="A789" t="s">
        <v>0</v>
      </c>
      <c r="B789" t="s">
        <v>104</v>
      </c>
      <c r="C789" s="5">
        <v>45463</v>
      </c>
      <c r="D789">
        <v>232</v>
      </c>
      <c r="E789">
        <f>WEEKNUM(Append321[[#This Row],[Date]])</f>
        <v>25</v>
      </c>
    </row>
    <row r="790" spans="1:5">
      <c r="A790" t="s">
        <v>0</v>
      </c>
      <c r="B790" t="s">
        <v>104</v>
      </c>
      <c r="C790" s="5">
        <v>45464</v>
      </c>
      <c r="D790">
        <v>274</v>
      </c>
      <c r="E790">
        <f>WEEKNUM(Append321[[#This Row],[Date]])</f>
        <v>25</v>
      </c>
    </row>
    <row r="791" spans="1:5">
      <c r="A791" t="s">
        <v>0</v>
      </c>
      <c r="B791" t="s">
        <v>104</v>
      </c>
      <c r="C791" s="5">
        <v>45465</v>
      </c>
      <c r="D791">
        <v>306</v>
      </c>
      <c r="E791">
        <f>WEEKNUM(Append321[[#This Row],[Date]])</f>
        <v>25</v>
      </c>
    </row>
    <row r="792" spans="1:5">
      <c r="A792" t="s">
        <v>0</v>
      </c>
      <c r="B792" t="s">
        <v>104</v>
      </c>
      <c r="C792" s="5">
        <v>45466</v>
      </c>
      <c r="D792">
        <v>219</v>
      </c>
      <c r="E792">
        <f>WEEKNUM(Append321[[#This Row],[Date]])</f>
        <v>26</v>
      </c>
    </row>
    <row r="793" spans="1:5">
      <c r="A793" t="s">
        <v>0</v>
      </c>
      <c r="B793" t="s">
        <v>104</v>
      </c>
      <c r="C793" s="5">
        <v>45467</v>
      </c>
      <c r="D793">
        <v>235</v>
      </c>
      <c r="E793">
        <f>WEEKNUM(Append321[[#This Row],[Date]])</f>
        <v>26</v>
      </c>
    </row>
    <row r="794" spans="1:5">
      <c r="A794" t="s">
        <v>0</v>
      </c>
      <c r="B794" t="s">
        <v>104</v>
      </c>
      <c r="C794" s="5">
        <v>45468</v>
      </c>
      <c r="D794">
        <v>237</v>
      </c>
      <c r="E794">
        <f>WEEKNUM(Append321[[#This Row],[Date]])</f>
        <v>26</v>
      </c>
    </row>
    <row r="795" spans="1:5">
      <c r="A795" t="s">
        <v>0</v>
      </c>
      <c r="B795" t="s">
        <v>104</v>
      </c>
      <c r="C795" s="5">
        <v>45469</v>
      </c>
      <c r="D795">
        <v>251</v>
      </c>
      <c r="E795">
        <f>WEEKNUM(Append321[[#This Row],[Date]])</f>
        <v>26</v>
      </c>
    </row>
    <row r="796" spans="1:5">
      <c r="A796" t="s">
        <v>0</v>
      </c>
      <c r="B796" t="s">
        <v>104</v>
      </c>
      <c r="C796" s="5">
        <v>45470</v>
      </c>
      <c r="D796">
        <v>248</v>
      </c>
      <c r="E796">
        <f>WEEKNUM(Append321[[#This Row],[Date]])</f>
        <v>26</v>
      </c>
    </row>
    <row r="797" spans="1:5">
      <c r="A797" t="s">
        <v>0</v>
      </c>
      <c r="B797" t="s">
        <v>104</v>
      </c>
      <c r="C797" s="5">
        <v>45471</v>
      </c>
      <c r="D797">
        <v>270</v>
      </c>
      <c r="E797">
        <f>WEEKNUM(Append321[[#This Row],[Date]])</f>
        <v>26</v>
      </c>
    </row>
    <row r="798" spans="1:5">
      <c r="A798" t="s">
        <v>0</v>
      </c>
      <c r="B798" t="s">
        <v>104</v>
      </c>
      <c r="C798" s="5">
        <v>45472</v>
      </c>
      <c r="D798">
        <v>309</v>
      </c>
      <c r="E798">
        <f>WEEKNUM(Append321[[#This Row],[Date]])</f>
        <v>26</v>
      </c>
    </row>
    <row r="799" spans="1:5">
      <c r="A799" t="s">
        <v>0</v>
      </c>
      <c r="B799" t="s">
        <v>104</v>
      </c>
      <c r="C799" s="5">
        <v>45473</v>
      </c>
      <c r="D799">
        <v>286</v>
      </c>
      <c r="E799">
        <f>WEEKNUM(Append321[[#This Row],[Date]])</f>
        <v>27</v>
      </c>
    </row>
    <row r="800" spans="1:5">
      <c r="A800" t="s">
        <v>0</v>
      </c>
      <c r="B800" t="s">
        <v>104</v>
      </c>
      <c r="C800" s="5">
        <v>45474</v>
      </c>
      <c r="D800">
        <v>251</v>
      </c>
      <c r="E800">
        <f>WEEKNUM(Append321[[#This Row],[Date]])</f>
        <v>27</v>
      </c>
    </row>
    <row r="801" spans="1:5">
      <c r="A801" t="s">
        <v>0</v>
      </c>
      <c r="B801" t="s">
        <v>104</v>
      </c>
      <c r="C801" s="5">
        <v>45475</v>
      </c>
      <c r="D801">
        <v>245</v>
      </c>
      <c r="E801">
        <f>WEEKNUM(Append321[[#This Row],[Date]])</f>
        <v>27</v>
      </c>
    </row>
    <row r="802" spans="1:5">
      <c r="A802" t="s">
        <v>0</v>
      </c>
      <c r="B802" t="s">
        <v>104</v>
      </c>
      <c r="C802" s="5">
        <v>45476</v>
      </c>
      <c r="D802">
        <v>237</v>
      </c>
      <c r="E802">
        <f>WEEKNUM(Append321[[#This Row],[Date]])</f>
        <v>27</v>
      </c>
    </row>
    <row r="803" spans="1:5">
      <c r="A803" t="s">
        <v>0</v>
      </c>
      <c r="B803" t="s">
        <v>104</v>
      </c>
      <c r="C803" s="5">
        <v>45477</v>
      </c>
      <c r="D803">
        <v>219</v>
      </c>
      <c r="E803">
        <f>WEEKNUM(Append321[[#This Row],[Date]])</f>
        <v>27</v>
      </c>
    </row>
    <row r="804" spans="1:5">
      <c r="A804" t="s">
        <v>0</v>
      </c>
      <c r="B804" t="s">
        <v>104</v>
      </c>
      <c r="C804" s="5">
        <v>45478</v>
      </c>
      <c r="D804">
        <v>255</v>
      </c>
      <c r="E804">
        <f>WEEKNUM(Append321[[#This Row],[Date]])</f>
        <v>27</v>
      </c>
    </row>
    <row r="805" spans="1:5">
      <c r="A805" t="s">
        <v>0</v>
      </c>
      <c r="B805" t="s">
        <v>104</v>
      </c>
      <c r="C805" s="5">
        <v>45479</v>
      </c>
      <c r="D805">
        <v>275</v>
      </c>
      <c r="E805">
        <f>WEEKNUM(Append321[[#This Row],[Date]])</f>
        <v>27</v>
      </c>
    </row>
    <row r="806" spans="1:5">
      <c r="A806" t="s">
        <v>0</v>
      </c>
      <c r="B806" t="s">
        <v>104</v>
      </c>
      <c r="C806" s="5">
        <v>45480</v>
      </c>
      <c r="D806">
        <v>220</v>
      </c>
      <c r="E806">
        <f>WEEKNUM(Append321[[#This Row],[Date]])</f>
        <v>28</v>
      </c>
    </row>
    <row r="807" spans="1:5">
      <c r="A807" t="s">
        <v>0</v>
      </c>
      <c r="B807" t="s">
        <v>104</v>
      </c>
      <c r="C807" s="5">
        <v>45481</v>
      </c>
      <c r="D807">
        <v>214</v>
      </c>
      <c r="E807">
        <f>WEEKNUM(Append321[[#This Row],[Date]])</f>
        <v>28</v>
      </c>
    </row>
    <row r="808" spans="1:5">
      <c r="A808" t="s">
        <v>0</v>
      </c>
      <c r="B808" t="s">
        <v>104</v>
      </c>
      <c r="C808" s="5">
        <v>45482</v>
      </c>
      <c r="D808">
        <v>207</v>
      </c>
      <c r="E808">
        <f>WEEKNUM(Append321[[#This Row],[Date]])</f>
        <v>28</v>
      </c>
    </row>
    <row r="809" spans="1:5">
      <c r="A809" t="s">
        <v>0</v>
      </c>
      <c r="B809" t="s">
        <v>104</v>
      </c>
      <c r="C809" s="5">
        <v>45483</v>
      </c>
      <c r="D809">
        <v>222</v>
      </c>
      <c r="E809">
        <f>WEEKNUM(Append321[[#This Row],[Date]])</f>
        <v>28</v>
      </c>
    </row>
    <row r="810" spans="1:5">
      <c r="A810" t="s">
        <v>0</v>
      </c>
      <c r="B810" t="s">
        <v>104</v>
      </c>
      <c r="C810" s="5">
        <v>45484</v>
      </c>
      <c r="D810">
        <v>214</v>
      </c>
      <c r="E810">
        <f>WEEKNUM(Append321[[#This Row],[Date]])</f>
        <v>28</v>
      </c>
    </row>
    <row r="811" spans="1:5">
      <c r="A811" t="s">
        <v>0</v>
      </c>
      <c r="B811" t="s">
        <v>104</v>
      </c>
      <c r="C811" s="5">
        <v>45485</v>
      </c>
      <c r="D811">
        <v>226</v>
      </c>
      <c r="E811">
        <f>WEEKNUM(Append321[[#This Row],[Date]])</f>
        <v>28</v>
      </c>
    </row>
    <row r="812" spans="1:5">
      <c r="A812" t="s">
        <v>0</v>
      </c>
      <c r="B812" t="s">
        <v>104</v>
      </c>
      <c r="C812" s="5">
        <v>45486</v>
      </c>
      <c r="D812">
        <v>276</v>
      </c>
      <c r="E812">
        <f>WEEKNUM(Append321[[#This Row],[Date]])</f>
        <v>28</v>
      </c>
    </row>
    <row r="813" spans="1:5">
      <c r="A813" t="s">
        <v>0</v>
      </c>
      <c r="B813" t="s">
        <v>104</v>
      </c>
      <c r="C813" s="5">
        <v>45487</v>
      </c>
      <c r="D813">
        <v>214</v>
      </c>
      <c r="E813">
        <f>WEEKNUM(Append321[[#This Row],[Date]])</f>
        <v>29</v>
      </c>
    </row>
    <row r="814" spans="1:5">
      <c r="A814" t="s">
        <v>0</v>
      </c>
      <c r="B814" t="s">
        <v>104</v>
      </c>
      <c r="C814" s="5">
        <v>45488</v>
      </c>
      <c r="D814">
        <v>190</v>
      </c>
      <c r="E814">
        <f>WEEKNUM(Append321[[#This Row],[Date]])</f>
        <v>29</v>
      </c>
    </row>
    <row r="815" spans="1:5">
      <c r="A815" t="s">
        <v>0</v>
      </c>
      <c r="B815" t="s">
        <v>104</v>
      </c>
      <c r="C815" s="5">
        <v>45489</v>
      </c>
      <c r="D815">
        <v>193</v>
      </c>
      <c r="E815">
        <f>WEEKNUM(Append321[[#This Row],[Date]])</f>
        <v>29</v>
      </c>
    </row>
    <row r="816" spans="1:5">
      <c r="A816" t="s">
        <v>0</v>
      </c>
      <c r="B816" t="s">
        <v>104</v>
      </c>
      <c r="C816" s="5">
        <v>45490</v>
      </c>
      <c r="D816">
        <v>274</v>
      </c>
      <c r="E816">
        <f>WEEKNUM(Append321[[#This Row],[Date]])</f>
        <v>29</v>
      </c>
    </row>
    <row r="817" spans="1:5">
      <c r="A817" t="s">
        <v>0</v>
      </c>
      <c r="B817" t="s">
        <v>104</v>
      </c>
      <c r="C817" s="5">
        <v>45491</v>
      </c>
      <c r="D817">
        <v>223</v>
      </c>
      <c r="E817">
        <f>WEEKNUM(Append321[[#This Row],[Date]])</f>
        <v>29</v>
      </c>
    </row>
    <row r="818" spans="1:5">
      <c r="A818" t="s">
        <v>0</v>
      </c>
      <c r="B818" t="s">
        <v>104</v>
      </c>
      <c r="C818" s="5">
        <v>45492</v>
      </c>
      <c r="D818">
        <v>244</v>
      </c>
      <c r="E818">
        <f>WEEKNUM(Append321[[#This Row],[Date]])</f>
        <v>29</v>
      </c>
    </row>
    <row r="819" spans="1:5">
      <c r="A819" t="s">
        <v>0</v>
      </c>
      <c r="B819" t="s">
        <v>104</v>
      </c>
      <c r="C819" s="5">
        <v>45493</v>
      </c>
      <c r="D819">
        <v>247</v>
      </c>
      <c r="E819">
        <f>WEEKNUM(Append321[[#This Row],[Date]])</f>
        <v>29</v>
      </c>
    </row>
    <row r="820" spans="1:5">
      <c r="A820" t="s">
        <v>0</v>
      </c>
      <c r="B820" t="s">
        <v>104</v>
      </c>
      <c r="C820" s="5">
        <v>45494</v>
      </c>
      <c r="D820">
        <v>229</v>
      </c>
      <c r="E820">
        <f>WEEKNUM(Append321[[#This Row],[Date]])</f>
        <v>30</v>
      </c>
    </row>
    <row r="821" spans="1:5">
      <c r="A821" t="s">
        <v>0</v>
      </c>
      <c r="B821" t="s">
        <v>104</v>
      </c>
      <c r="C821" s="5">
        <v>45495</v>
      </c>
      <c r="D821">
        <v>239</v>
      </c>
      <c r="E821">
        <f>WEEKNUM(Append321[[#This Row],[Date]])</f>
        <v>30</v>
      </c>
    </row>
    <row r="822" spans="1:5">
      <c r="A822" t="s">
        <v>0</v>
      </c>
      <c r="B822" t="s">
        <v>104</v>
      </c>
      <c r="C822" s="5">
        <v>45496</v>
      </c>
      <c r="D822">
        <v>213</v>
      </c>
      <c r="E822">
        <f>WEEKNUM(Append321[[#This Row],[Date]])</f>
        <v>30</v>
      </c>
    </row>
    <row r="823" spans="1:5">
      <c r="A823" t="s">
        <v>0</v>
      </c>
      <c r="B823" t="s">
        <v>104</v>
      </c>
      <c r="C823" s="5">
        <v>45497</v>
      </c>
      <c r="D823">
        <v>245</v>
      </c>
      <c r="E823">
        <f>WEEKNUM(Append321[[#This Row],[Date]])</f>
        <v>30</v>
      </c>
    </row>
    <row r="824" spans="1:5">
      <c r="A824" t="s">
        <v>0</v>
      </c>
      <c r="B824" t="s">
        <v>104</v>
      </c>
      <c r="C824" s="5">
        <v>45498</v>
      </c>
      <c r="D824">
        <v>210</v>
      </c>
      <c r="E824">
        <f>WEEKNUM(Append321[[#This Row],[Date]])</f>
        <v>30</v>
      </c>
    </row>
    <row r="825" spans="1:5">
      <c r="A825" t="s">
        <v>0</v>
      </c>
      <c r="B825" t="s">
        <v>104</v>
      </c>
      <c r="C825" s="5">
        <v>45499</v>
      </c>
      <c r="D825">
        <v>254</v>
      </c>
      <c r="E825">
        <f>WEEKNUM(Append321[[#This Row],[Date]])</f>
        <v>30</v>
      </c>
    </row>
    <row r="826" spans="1:5">
      <c r="A826" t="s">
        <v>0</v>
      </c>
      <c r="B826" t="s">
        <v>104</v>
      </c>
      <c r="C826" s="5">
        <v>45500</v>
      </c>
      <c r="D826">
        <v>234</v>
      </c>
      <c r="E826">
        <f>WEEKNUM(Append321[[#This Row],[Date]])</f>
        <v>30</v>
      </c>
    </row>
    <row r="827" spans="1:5">
      <c r="A827" t="s">
        <v>0</v>
      </c>
      <c r="B827" t="s">
        <v>104</v>
      </c>
      <c r="C827" s="5">
        <v>45501</v>
      </c>
      <c r="D827">
        <v>228</v>
      </c>
      <c r="E827">
        <f>WEEKNUM(Append321[[#This Row],[Date]])</f>
        <v>31</v>
      </c>
    </row>
    <row r="828" spans="1:5">
      <c r="A828" t="s">
        <v>0</v>
      </c>
      <c r="B828" t="s">
        <v>104</v>
      </c>
      <c r="C828" s="5">
        <v>45502</v>
      </c>
      <c r="D828">
        <v>246</v>
      </c>
      <c r="E828">
        <f>WEEKNUM(Append321[[#This Row],[Date]])</f>
        <v>31</v>
      </c>
    </row>
    <row r="829" spans="1:5">
      <c r="A829" t="s">
        <v>0</v>
      </c>
      <c r="B829" t="s">
        <v>104</v>
      </c>
      <c r="C829" s="5">
        <v>45503</v>
      </c>
      <c r="D829">
        <v>219</v>
      </c>
      <c r="E829">
        <f>WEEKNUM(Append321[[#This Row],[Date]])</f>
        <v>31</v>
      </c>
    </row>
    <row r="830" spans="1:5">
      <c r="A830" t="s">
        <v>0</v>
      </c>
      <c r="B830" t="s">
        <v>104</v>
      </c>
      <c r="C830" s="5">
        <v>45504</v>
      </c>
      <c r="D830">
        <v>216</v>
      </c>
      <c r="E830">
        <f>WEEKNUM(Append321[[#This Row],[Date]])</f>
        <v>31</v>
      </c>
    </row>
    <row r="831" spans="1:5">
      <c r="A831" t="s">
        <v>0</v>
      </c>
      <c r="B831" t="s">
        <v>104</v>
      </c>
      <c r="C831" s="5">
        <v>45505</v>
      </c>
      <c r="D831">
        <v>228</v>
      </c>
      <c r="E831">
        <f>WEEKNUM(Append321[[#This Row],[Date]])</f>
        <v>31</v>
      </c>
    </row>
    <row r="832" spans="1:5">
      <c r="A832" t="s">
        <v>0</v>
      </c>
      <c r="B832" t="s">
        <v>104</v>
      </c>
      <c r="C832" s="5">
        <v>45506</v>
      </c>
      <c r="D832">
        <v>255</v>
      </c>
      <c r="E832">
        <f>WEEKNUM(Append321[[#This Row],[Date]])</f>
        <v>31</v>
      </c>
    </row>
    <row r="833" spans="1:5">
      <c r="A833" t="s">
        <v>0</v>
      </c>
      <c r="B833" t="s">
        <v>104</v>
      </c>
      <c r="C833" s="5">
        <v>45507</v>
      </c>
      <c r="D833">
        <v>340</v>
      </c>
      <c r="E833">
        <f>WEEKNUM(Append321[[#This Row],[Date]])</f>
        <v>31</v>
      </c>
    </row>
    <row r="834" spans="1:5">
      <c r="A834" t="s">
        <v>0</v>
      </c>
      <c r="B834" t="s">
        <v>104</v>
      </c>
      <c r="C834" s="5">
        <v>45508</v>
      </c>
      <c r="D834">
        <v>247</v>
      </c>
      <c r="E834">
        <f>WEEKNUM(Append321[[#This Row],[Date]])</f>
        <v>32</v>
      </c>
    </row>
    <row r="835" spans="1:5">
      <c r="A835" t="s">
        <v>0</v>
      </c>
      <c r="B835" t="s">
        <v>104</v>
      </c>
      <c r="C835" s="5">
        <v>45509</v>
      </c>
      <c r="D835">
        <v>249</v>
      </c>
      <c r="E835">
        <f>WEEKNUM(Append321[[#This Row],[Date]])</f>
        <v>32</v>
      </c>
    </row>
    <row r="836" spans="1:5">
      <c r="A836" t="s">
        <v>0</v>
      </c>
      <c r="B836" t="s">
        <v>104</v>
      </c>
      <c r="C836" s="5">
        <v>45510</v>
      </c>
      <c r="D836">
        <v>237</v>
      </c>
      <c r="E836">
        <f>WEEKNUM(Append321[[#This Row],[Date]])</f>
        <v>32</v>
      </c>
    </row>
    <row r="837" spans="1:5">
      <c r="A837" t="s">
        <v>0</v>
      </c>
      <c r="B837" t="s">
        <v>104</v>
      </c>
      <c r="C837" s="5">
        <v>45511</v>
      </c>
      <c r="D837">
        <v>231</v>
      </c>
      <c r="E837">
        <f>WEEKNUM(Append321[[#This Row],[Date]])</f>
        <v>32</v>
      </c>
    </row>
    <row r="838" spans="1:5">
      <c r="A838" t="s">
        <v>0</v>
      </c>
      <c r="B838" t="s">
        <v>104</v>
      </c>
      <c r="C838" s="5">
        <v>45512</v>
      </c>
      <c r="D838">
        <v>249</v>
      </c>
      <c r="E838">
        <f>WEEKNUM(Append321[[#This Row],[Date]])</f>
        <v>32</v>
      </c>
    </row>
    <row r="839" spans="1:5">
      <c r="A839" t="s">
        <v>0</v>
      </c>
      <c r="B839" t="s">
        <v>104</v>
      </c>
      <c r="C839" s="5">
        <v>45513</v>
      </c>
      <c r="D839">
        <v>191</v>
      </c>
      <c r="E839">
        <f>WEEKNUM(Append321[[#This Row],[Date]])</f>
        <v>32</v>
      </c>
    </row>
    <row r="840" spans="1:5">
      <c r="A840" t="s">
        <v>0</v>
      </c>
      <c r="B840" t="s">
        <v>104</v>
      </c>
      <c r="C840" s="5">
        <v>45514</v>
      </c>
      <c r="D840">
        <v>292</v>
      </c>
      <c r="E840">
        <f>WEEKNUM(Append321[[#This Row],[Date]])</f>
        <v>32</v>
      </c>
    </row>
    <row r="841" spans="1:5">
      <c r="A841" t="s">
        <v>0</v>
      </c>
      <c r="B841" t="s">
        <v>104</v>
      </c>
      <c r="C841" s="5">
        <v>45515</v>
      </c>
      <c r="D841">
        <v>213</v>
      </c>
      <c r="E841">
        <f>WEEKNUM(Append321[[#This Row],[Date]])</f>
        <v>33</v>
      </c>
    </row>
    <row r="842" spans="1:5">
      <c r="A842" t="s">
        <v>0</v>
      </c>
      <c r="B842" t="s">
        <v>104</v>
      </c>
      <c r="C842" s="5">
        <v>45516</v>
      </c>
      <c r="D842">
        <v>237</v>
      </c>
      <c r="E842">
        <f>WEEKNUM(Append321[[#This Row],[Date]])</f>
        <v>33</v>
      </c>
    </row>
    <row r="843" spans="1:5">
      <c r="A843" t="s">
        <v>0</v>
      </c>
      <c r="B843" t="s">
        <v>104</v>
      </c>
      <c r="C843" s="5">
        <v>45517</v>
      </c>
      <c r="D843">
        <v>163</v>
      </c>
      <c r="E843">
        <f>WEEKNUM(Append321[[#This Row],[Date]])</f>
        <v>33</v>
      </c>
    </row>
    <row r="844" spans="1:5">
      <c r="A844" t="s">
        <v>0</v>
      </c>
      <c r="B844" t="s">
        <v>104</v>
      </c>
      <c r="C844" s="5">
        <v>45518</v>
      </c>
      <c r="D844">
        <v>187</v>
      </c>
      <c r="E844">
        <f>WEEKNUM(Append321[[#This Row],[Date]])</f>
        <v>33</v>
      </c>
    </row>
    <row r="845" spans="1:5">
      <c r="A845" t="s">
        <v>0</v>
      </c>
      <c r="B845" t="s">
        <v>104</v>
      </c>
      <c r="C845" s="5">
        <v>45519</v>
      </c>
      <c r="D845">
        <v>191</v>
      </c>
      <c r="E845">
        <f>WEEKNUM(Append321[[#This Row],[Date]])</f>
        <v>33</v>
      </c>
    </row>
    <row r="846" spans="1:5">
      <c r="A846" t="s">
        <v>0</v>
      </c>
      <c r="B846" t="s">
        <v>104</v>
      </c>
      <c r="C846" s="5">
        <v>45520</v>
      </c>
      <c r="D846">
        <v>202</v>
      </c>
      <c r="E846">
        <f>WEEKNUM(Append321[[#This Row],[Date]])</f>
        <v>33</v>
      </c>
    </row>
    <row r="847" spans="1:5">
      <c r="A847" t="s">
        <v>0</v>
      </c>
      <c r="B847" t="s">
        <v>104</v>
      </c>
      <c r="C847" s="5">
        <v>45521</v>
      </c>
      <c r="D847">
        <v>192</v>
      </c>
      <c r="E847">
        <f>WEEKNUM(Append321[[#This Row],[Date]])</f>
        <v>33</v>
      </c>
    </row>
    <row r="848" spans="1:5">
      <c r="A848" t="s">
        <v>0</v>
      </c>
      <c r="B848" t="s">
        <v>104</v>
      </c>
      <c r="C848" s="5">
        <v>45522</v>
      </c>
      <c r="D848">
        <v>186</v>
      </c>
      <c r="E848">
        <f>WEEKNUM(Append321[[#This Row],[Date]])</f>
        <v>34</v>
      </c>
    </row>
    <row r="849" spans="1:5">
      <c r="A849" t="s">
        <v>0</v>
      </c>
      <c r="B849" t="s">
        <v>104</v>
      </c>
      <c r="C849" s="5">
        <v>45523</v>
      </c>
      <c r="D849">
        <v>276</v>
      </c>
      <c r="E849">
        <f>WEEKNUM(Append321[[#This Row],[Date]])</f>
        <v>34</v>
      </c>
    </row>
    <row r="850" spans="1:5">
      <c r="A850" t="s">
        <v>0</v>
      </c>
      <c r="B850" t="s">
        <v>104</v>
      </c>
      <c r="C850" s="5">
        <v>45524</v>
      </c>
      <c r="D850">
        <v>235</v>
      </c>
      <c r="E850">
        <f>WEEKNUM(Append321[[#This Row],[Date]])</f>
        <v>34</v>
      </c>
    </row>
    <row r="851" spans="1:5">
      <c r="A851" t="s">
        <v>0</v>
      </c>
      <c r="B851" t="s">
        <v>104</v>
      </c>
      <c r="C851" s="5">
        <v>45525</v>
      </c>
      <c r="D851">
        <v>277</v>
      </c>
      <c r="E851">
        <f>WEEKNUM(Append321[[#This Row],[Date]])</f>
        <v>34</v>
      </c>
    </row>
    <row r="852" spans="1:5">
      <c r="A852" t="s">
        <v>0</v>
      </c>
      <c r="B852" t="s">
        <v>104</v>
      </c>
      <c r="C852" s="5">
        <v>45526</v>
      </c>
      <c r="D852">
        <v>242</v>
      </c>
      <c r="E852">
        <f>WEEKNUM(Append321[[#This Row],[Date]])</f>
        <v>34</v>
      </c>
    </row>
    <row r="853" spans="1:5">
      <c r="A853" t="s">
        <v>0</v>
      </c>
      <c r="B853" t="s">
        <v>104</v>
      </c>
      <c r="C853" s="5">
        <v>45527</v>
      </c>
      <c r="D853">
        <v>312</v>
      </c>
      <c r="E853">
        <f>WEEKNUM(Append321[[#This Row],[Date]])</f>
        <v>34</v>
      </c>
    </row>
    <row r="854" spans="1:5">
      <c r="A854" t="s">
        <v>0</v>
      </c>
      <c r="B854" t="s">
        <v>104</v>
      </c>
      <c r="C854" s="5">
        <v>45528</v>
      </c>
      <c r="D854">
        <v>294</v>
      </c>
      <c r="E854">
        <f>WEEKNUM(Append321[[#This Row],[Date]])</f>
        <v>34</v>
      </c>
    </row>
    <row r="855" spans="1:5">
      <c r="A855" t="s">
        <v>0</v>
      </c>
      <c r="B855" t="s">
        <v>104</v>
      </c>
      <c r="C855" s="5">
        <v>45529</v>
      </c>
      <c r="D855">
        <v>243</v>
      </c>
      <c r="E855">
        <f>WEEKNUM(Append321[[#This Row],[Date]])</f>
        <v>35</v>
      </c>
    </row>
    <row r="856" spans="1:5">
      <c r="A856" t="s">
        <v>0</v>
      </c>
      <c r="B856" t="s">
        <v>104</v>
      </c>
      <c r="C856" s="5">
        <v>45530</v>
      </c>
      <c r="D856">
        <v>210</v>
      </c>
      <c r="E856">
        <f>WEEKNUM(Append321[[#This Row],[Date]])</f>
        <v>35</v>
      </c>
    </row>
    <row r="857" spans="1:5">
      <c r="A857" t="s">
        <v>0</v>
      </c>
      <c r="B857" t="s">
        <v>104</v>
      </c>
      <c r="C857" s="5">
        <v>45531</v>
      </c>
      <c r="D857">
        <v>222</v>
      </c>
      <c r="E857">
        <f>WEEKNUM(Append321[[#This Row],[Date]])</f>
        <v>35</v>
      </c>
    </row>
    <row r="858" spans="1:5">
      <c r="A858" t="s">
        <v>0</v>
      </c>
      <c r="B858" t="s">
        <v>104</v>
      </c>
      <c r="C858" s="5">
        <v>45532</v>
      </c>
      <c r="D858">
        <v>186</v>
      </c>
      <c r="E858">
        <f>WEEKNUM(Append321[[#This Row],[Date]])</f>
        <v>35</v>
      </c>
    </row>
    <row r="859" spans="1:5">
      <c r="A859" t="s">
        <v>0</v>
      </c>
      <c r="B859" t="s">
        <v>104</v>
      </c>
      <c r="C859" s="5">
        <v>45533</v>
      </c>
      <c r="D859">
        <v>222</v>
      </c>
      <c r="E859">
        <f>WEEKNUM(Append321[[#This Row],[Date]])</f>
        <v>35</v>
      </c>
    </row>
    <row r="860" spans="1:5">
      <c r="A860" t="s">
        <v>0</v>
      </c>
      <c r="B860" t="s">
        <v>104</v>
      </c>
      <c r="C860" s="5">
        <v>45534</v>
      </c>
      <c r="D860">
        <v>229</v>
      </c>
      <c r="E860">
        <f>WEEKNUM(Append321[[#This Row],[Date]])</f>
        <v>35</v>
      </c>
    </row>
    <row r="861" spans="1:5">
      <c r="A861" t="s">
        <v>0</v>
      </c>
      <c r="B861" t="s">
        <v>104</v>
      </c>
      <c r="C861" s="5">
        <v>45535</v>
      </c>
      <c r="D861">
        <v>325</v>
      </c>
      <c r="E861">
        <f>WEEKNUM(Append321[[#This Row],[Date]])</f>
        <v>35</v>
      </c>
    </row>
    <row r="862" spans="1:5">
      <c r="A862" t="s">
        <v>0</v>
      </c>
      <c r="B862" t="s">
        <v>105</v>
      </c>
      <c r="C862" s="5">
        <v>45519</v>
      </c>
      <c r="D862">
        <v>1</v>
      </c>
      <c r="E862">
        <f>WEEKNUM(Append321[[#This Row],[Date]])</f>
        <v>33</v>
      </c>
    </row>
    <row r="863" spans="1:5">
      <c r="A863" t="s">
        <v>0</v>
      </c>
      <c r="B863" t="s">
        <v>105</v>
      </c>
      <c r="C863" s="5">
        <v>45520</v>
      </c>
      <c r="D863">
        <v>3</v>
      </c>
      <c r="E863">
        <f>WEEKNUM(Append321[[#This Row],[Date]])</f>
        <v>33</v>
      </c>
    </row>
    <row r="864" spans="1:5">
      <c r="A864" t="s">
        <v>0</v>
      </c>
      <c r="B864" t="s">
        <v>105</v>
      </c>
      <c r="C864" s="5">
        <v>45521</v>
      </c>
      <c r="D864">
        <v>7</v>
      </c>
      <c r="E864">
        <f>WEEKNUM(Append321[[#This Row],[Date]])</f>
        <v>33</v>
      </c>
    </row>
    <row r="865" spans="1:5">
      <c r="A865" t="s">
        <v>0</v>
      </c>
      <c r="B865" t="s">
        <v>105</v>
      </c>
      <c r="C865" s="5">
        <v>45522</v>
      </c>
      <c r="D865">
        <v>19</v>
      </c>
      <c r="E865">
        <f>WEEKNUM(Append321[[#This Row],[Date]])</f>
        <v>34</v>
      </c>
    </row>
    <row r="866" spans="1:5">
      <c r="A866" t="s">
        <v>0</v>
      </c>
      <c r="B866" t="s">
        <v>105</v>
      </c>
      <c r="C866" s="5">
        <v>45523</v>
      </c>
      <c r="D866">
        <v>28</v>
      </c>
      <c r="E866">
        <f>WEEKNUM(Append321[[#This Row],[Date]])</f>
        <v>34</v>
      </c>
    </row>
    <row r="867" spans="1:5">
      <c r="A867" t="s">
        <v>0</v>
      </c>
      <c r="B867" t="s">
        <v>105</v>
      </c>
      <c r="C867" s="5">
        <v>45524</v>
      </c>
      <c r="D867">
        <v>42</v>
      </c>
      <c r="E867">
        <f>WEEKNUM(Append321[[#This Row],[Date]])</f>
        <v>34</v>
      </c>
    </row>
    <row r="868" spans="1:5">
      <c r="A868" t="s">
        <v>0</v>
      </c>
      <c r="B868" t="s">
        <v>105</v>
      </c>
      <c r="C868" s="5">
        <v>45525</v>
      </c>
      <c r="D868">
        <v>49</v>
      </c>
      <c r="E868">
        <f>WEEKNUM(Append321[[#This Row],[Date]])</f>
        <v>34</v>
      </c>
    </row>
    <row r="869" spans="1:5">
      <c r="A869" t="s">
        <v>0</v>
      </c>
      <c r="B869" t="s">
        <v>105</v>
      </c>
      <c r="C869" s="5">
        <v>45526</v>
      </c>
      <c r="D869">
        <v>42</v>
      </c>
      <c r="E869">
        <f>WEEKNUM(Append321[[#This Row],[Date]])</f>
        <v>34</v>
      </c>
    </row>
    <row r="870" spans="1:5">
      <c r="A870" t="s">
        <v>0</v>
      </c>
      <c r="B870" t="s">
        <v>105</v>
      </c>
      <c r="C870" s="5">
        <v>45527</v>
      </c>
      <c r="D870">
        <v>30</v>
      </c>
      <c r="E870">
        <f>WEEKNUM(Append321[[#This Row],[Date]])</f>
        <v>34</v>
      </c>
    </row>
    <row r="871" spans="1:5">
      <c r="A871" t="s">
        <v>0</v>
      </c>
      <c r="B871" t="s">
        <v>105</v>
      </c>
      <c r="C871" s="5">
        <v>45528</v>
      </c>
      <c r="D871">
        <v>46</v>
      </c>
      <c r="E871">
        <f>WEEKNUM(Append321[[#This Row],[Date]])</f>
        <v>34</v>
      </c>
    </row>
    <row r="872" spans="1:5">
      <c r="A872" t="s">
        <v>0</v>
      </c>
      <c r="B872" t="s">
        <v>105</v>
      </c>
      <c r="C872" s="5">
        <v>45529</v>
      </c>
      <c r="D872">
        <v>39</v>
      </c>
      <c r="E872">
        <f>WEEKNUM(Append321[[#This Row],[Date]])</f>
        <v>35</v>
      </c>
    </row>
    <row r="873" spans="1:5">
      <c r="A873" t="s">
        <v>0</v>
      </c>
      <c r="B873" t="s">
        <v>105</v>
      </c>
      <c r="C873" s="5">
        <v>45530</v>
      </c>
      <c r="D873">
        <v>41</v>
      </c>
      <c r="E873">
        <f>WEEKNUM(Append321[[#This Row],[Date]])</f>
        <v>35</v>
      </c>
    </row>
    <row r="874" spans="1:5">
      <c r="A874" t="s">
        <v>0</v>
      </c>
      <c r="B874" t="s">
        <v>105</v>
      </c>
      <c r="C874" s="5">
        <v>45531</v>
      </c>
      <c r="D874">
        <v>44</v>
      </c>
      <c r="E874">
        <f>WEEKNUM(Append321[[#This Row],[Date]])</f>
        <v>35</v>
      </c>
    </row>
    <row r="875" spans="1:5">
      <c r="A875" t="s">
        <v>0</v>
      </c>
      <c r="B875" t="s">
        <v>105</v>
      </c>
      <c r="C875" s="5">
        <v>45532</v>
      </c>
      <c r="D875">
        <v>51</v>
      </c>
      <c r="E875">
        <f>WEEKNUM(Append321[[#This Row],[Date]])</f>
        <v>35</v>
      </c>
    </row>
    <row r="876" spans="1:5">
      <c r="A876" t="s">
        <v>0</v>
      </c>
      <c r="B876" t="s">
        <v>105</v>
      </c>
      <c r="C876" s="5">
        <v>45533</v>
      </c>
      <c r="D876">
        <v>48</v>
      </c>
      <c r="E876">
        <f>WEEKNUM(Append321[[#This Row],[Date]])</f>
        <v>35</v>
      </c>
    </row>
    <row r="877" spans="1:5">
      <c r="A877" t="s">
        <v>0</v>
      </c>
      <c r="B877" t="s">
        <v>105</v>
      </c>
      <c r="C877" s="5">
        <v>45534</v>
      </c>
      <c r="D877">
        <v>54</v>
      </c>
      <c r="E877">
        <f>WEEKNUM(Append321[[#This Row],[Date]])</f>
        <v>35</v>
      </c>
    </row>
    <row r="878" spans="1:5">
      <c r="A878" t="s">
        <v>0</v>
      </c>
      <c r="B878" t="s">
        <v>105</v>
      </c>
      <c r="C878" s="5">
        <v>45535</v>
      </c>
      <c r="D878">
        <v>40</v>
      </c>
      <c r="E878">
        <f>WEEKNUM(Append321[[#This Row],[Date]])</f>
        <v>35</v>
      </c>
    </row>
    <row r="879" spans="1:5">
      <c r="A879" t="s">
        <v>0</v>
      </c>
      <c r="B879" t="s">
        <v>106</v>
      </c>
      <c r="C879" s="5">
        <v>45444</v>
      </c>
      <c r="D879">
        <v>148</v>
      </c>
      <c r="E879">
        <f>WEEKNUM(Append321[[#This Row],[Date]])</f>
        <v>22</v>
      </c>
    </row>
    <row r="880" spans="1:5">
      <c r="A880" t="s">
        <v>0</v>
      </c>
      <c r="B880" t="s">
        <v>106</v>
      </c>
      <c r="C880" s="5">
        <v>45445</v>
      </c>
      <c r="D880">
        <v>135</v>
      </c>
      <c r="E880">
        <f>WEEKNUM(Append321[[#This Row],[Date]])</f>
        <v>23</v>
      </c>
    </row>
    <row r="881" spans="1:5">
      <c r="A881" t="s">
        <v>0</v>
      </c>
      <c r="B881" t="s">
        <v>106</v>
      </c>
      <c r="C881" s="5">
        <v>45446</v>
      </c>
      <c r="D881">
        <v>144</v>
      </c>
      <c r="E881">
        <f>WEEKNUM(Append321[[#This Row],[Date]])</f>
        <v>23</v>
      </c>
    </row>
    <row r="882" spans="1:5">
      <c r="A882" t="s">
        <v>0</v>
      </c>
      <c r="B882" t="s">
        <v>106</v>
      </c>
      <c r="C882" s="5">
        <v>45447</v>
      </c>
      <c r="D882">
        <v>146</v>
      </c>
      <c r="E882">
        <f>WEEKNUM(Append321[[#This Row],[Date]])</f>
        <v>23</v>
      </c>
    </row>
    <row r="883" spans="1:5">
      <c r="A883" t="s">
        <v>0</v>
      </c>
      <c r="B883" t="s">
        <v>106</v>
      </c>
      <c r="C883" s="5">
        <v>45448</v>
      </c>
      <c r="D883">
        <v>172</v>
      </c>
      <c r="E883">
        <f>WEEKNUM(Append321[[#This Row],[Date]])</f>
        <v>23</v>
      </c>
    </row>
    <row r="884" spans="1:5">
      <c r="A884" t="s">
        <v>0</v>
      </c>
      <c r="B884" t="s">
        <v>106</v>
      </c>
      <c r="C884" s="5">
        <v>45449</v>
      </c>
      <c r="D884">
        <v>145</v>
      </c>
      <c r="E884">
        <f>WEEKNUM(Append321[[#This Row],[Date]])</f>
        <v>23</v>
      </c>
    </row>
    <row r="885" spans="1:5">
      <c r="A885" t="s">
        <v>0</v>
      </c>
      <c r="B885" t="s">
        <v>106</v>
      </c>
      <c r="C885" s="5">
        <v>45450</v>
      </c>
      <c r="D885">
        <v>161</v>
      </c>
      <c r="E885">
        <f>WEEKNUM(Append321[[#This Row],[Date]])</f>
        <v>23</v>
      </c>
    </row>
    <row r="886" spans="1:5">
      <c r="A886" t="s">
        <v>0</v>
      </c>
      <c r="B886" t="s">
        <v>106</v>
      </c>
      <c r="C886" s="5">
        <v>45451</v>
      </c>
      <c r="D886">
        <v>142</v>
      </c>
      <c r="E886">
        <f>WEEKNUM(Append321[[#This Row],[Date]])</f>
        <v>23</v>
      </c>
    </row>
    <row r="887" spans="1:5">
      <c r="A887" t="s">
        <v>0</v>
      </c>
      <c r="B887" t="s">
        <v>106</v>
      </c>
      <c r="C887" s="5">
        <v>45452</v>
      </c>
      <c r="D887">
        <v>151</v>
      </c>
      <c r="E887">
        <f>WEEKNUM(Append321[[#This Row],[Date]])</f>
        <v>24</v>
      </c>
    </row>
    <row r="888" spans="1:5">
      <c r="A888" t="s">
        <v>0</v>
      </c>
      <c r="B888" t="s">
        <v>106</v>
      </c>
      <c r="C888" s="5">
        <v>45453</v>
      </c>
      <c r="D888">
        <v>118</v>
      </c>
      <c r="E888">
        <f>WEEKNUM(Append321[[#This Row],[Date]])</f>
        <v>24</v>
      </c>
    </row>
    <row r="889" spans="1:5">
      <c r="A889" t="s">
        <v>0</v>
      </c>
      <c r="B889" t="s">
        <v>106</v>
      </c>
      <c r="C889" s="5">
        <v>45454</v>
      </c>
      <c r="D889">
        <v>163</v>
      </c>
      <c r="E889">
        <f>WEEKNUM(Append321[[#This Row],[Date]])</f>
        <v>24</v>
      </c>
    </row>
    <row r="890" spans="1:5">
      <c r="A890" t="s">
        <v>0</v>
      </c>
      <c r="B890" t="s">
        <v>106</v>
      </c>
      <c r="C890" s="5">
        <v>45455</v>
      </c>
      <c r="D890">
        <v>161</v>
      </c>
      <c r="E890">
        <f>WEEKNUM(Append321[[#This Row],[Date]])</f>
        <v>24</v>
      </c>
    </row>
    <row r="891" spans="1:5">
      <c r="A891" t="s">
        <v>0</v>
      </c>
      <c r="B891" t="s">
        <v>106</v>
      </c>
      <c r="C891" s="5">
        <v>45456</v>
      </c>
      <c r="D891">
        <v>127</v>
      </c>
      <c r="E891">
        <f>WEEKNUM(Append321[[#This Row],[Date]])</f>
        <v>24</v>
      </c>
    </row>
    <row r="892" spans="1:5">
      <c r="A892" t="s">
        <v>0</v>
      </c>
      <c r="B892" t="s">
        <v>106</v>
      </c>
      <c r="C892" s="5">
        <v>45457</v>
      </c>
      <c r="D892">
        <v>150</v>
      </c>
      <c r="E892">
        <f>WEEKNUM(Append321[[#This Row],[Date]])</f>
        <v>24</v>
      </c>
    </row>
    <row r="893" spans="1:5">
      <c r="A893" t="s">
        <v>0</v>
      </c>
      <c r="B893" t="s">
        <v>106</v>
      </c>
      <c r="C893" s="5">
        <v>45458</v>
      </c>
      <c r="D893">
        <v>139</v>
      </c>
      <c r="E893">
        <f>WEEKNUM(Append321[[#This Row],[Date]])</f>
        <v>24</v>
      </c>
    </row>
    <row r="894" spans="1:5">
      <c r="A894" t="s">
        <v>0</v>
      </c>
      <c r="B894" t="s">
        <v>106</v>
      </c>
      <c r="C894" s="5">
        <v>45459</v>
      </c>
      <c r="D894">
        <v>143</v>
      </c>
      <c r="E894">
        <f>WEEKNUM(Append321[[#This Row],[Date]])</f>
        <v>25</v>
      </c>
    </row>
    <row r="895" spans="1:5">
      <c r="A895" t="s">
        <v>0</v>
      </c>
      <c r="B895" t="s">
        <v>106</v>
      </c>
      <c r="C895" s="5">
        <v>45460</v>
      </c>
      <c r="D895">
        <v>131</v>
      </c>
      <c r="E895">
        <f>WEEKNUM(Append321[[#This Row],[Date]])</f>
        <v>25</v>
      </c>
    </row>
    <row r="896" spans="1:5">
      <c r="A896" t="s">
        <v>0</v>
      </c>
      <c r="B896" t="s">
        <v>106</v>
      </c>
      <c r="C896" s="5">
        <v>45461</v>
      </c>
      <c r="D896">
        <v>150</v>
      </c>
      <c r="E896">
        <f>WEEKNUM(Append321[[#This Row],[Date]])</f>
        <v>25</v>
      </c>
    </row>
    <row r="897" spans="1:5">
      <c r="A897" t="s">
        <v>0</v>
      </c>
      <c r="B897" t="s">
        <v>106</v>
      </c>
      <c r="C897" s="5">
        <v>45462</v>
      </c>
      <c r="D897">
        <v>157</v>
      </c>
      <c r="E897">
        <f>WEEKNUM(Append321[[#This Row],[Date]])</f>
        <v>25</v>
      </c>
    </row>
    <row r="898" spans="1:5">
      <c r="A898" t="s">
        <v>0</v>
      </c>
      <c r="B898" t="s">
        <v>106</v>
      </c>
      <c r="C898" s="5">
        <v>45463</v>
      </c>
      <c r="D898">
        <v>150</v>
      </c>
      <c r="E898">
        <f>WEEKNUM(Append321[[#This Row],[Date]])</f>
        <v>25</v>
      </c>
    </row>
    <row r="899" spans="1:5">
      <c r="A899" t="s">
        <v>0</v>
      </c>
      <c r="B899" t="s">
        <v>106</v>
      </c>
      <c r="C899" s="5">
        <v>45464</v>
      </c>
      <c r="D899">
        <v>128</v>
      </c>
      <c r="E899">
        <f>WEEKNUM(Append321[[#This Row],[Date]])</f>
        <v>25</v>
      </c>
    </row>
    <row r="900" spans="1:5">
      <c r="A900" t="s">
        <v>0</v>
      </c>
      <c r="B900" t="s">
        <v>106</v>
      </c>
      <c r="C900" s="5">
        <v>45465</v>
      </c>
      <c r="D900">
        <v>137</v>
      </c>
      <c r="E900">
        <f>WEEKNUM(Append321[[#This Row],[Date]])</f>
        <v>25</v>
      </c>
    </row>
    <row r="901" spans="1:5">
      <c r="A901" t="s">
        <v>0</v>
      </c>
      <c r="B901" t="s">
        <v>106</v>
      </c>
      <c r="C901" s="5">
        <v>45466</v>
      </c>
      <c r="D901">
        <v>141</v>
      </c>
      <c r="E901">
        <f>WEEKNUM(Append321[[#This Row],[Date]])</f>
        <v>26</v>
      </c>
    </row>
    <row r="902" spans="1:5">
      <c r="A902" t="s">
        <v>0</v>
      </c>
      <c r="B902" t="s">
        <v>106</v>
      </c>
      <c r="C902" s="5">
        <v>45467</v>
      </c>
      <c r="D902">
        <v>153</v>
      </c>
      <c r="E902">
        <f>WEEKNUM(Append321[[#This Row],[Date]])</f>
        <v>26</v>
      </c>
    </row>
    <row r="903" spans="1:5">
      <c r="A903" t="s">
        <v>0</v>
      </c>
      <c r="B903" t="s">
        <v>106</v>
      </c>
      <c r="C903" s="5">
        <v>45468</v>
      </c>
      <c r="D903">
        <v>130</v>
      </c>
      <c r="E903">
        <f>WEEKNUM(Append321[[#This Row],[Date]])</f>
        <v>26</v>
      </c>
    </row>
    <row r="904" spans="1:5">
      <c r="A904" t="s">
        <v>0</v>
      </c>
      <c r="B904" t="s">
        <v>106</v>
      </c>
      <c r="C904" s="5">
        <v>45469</v>
      </c>
      <c r="D904">
        <v>140</v>
      </c>
      <c r="E904">
        <f>WEEKNUM(Append321[[#This Row],[Date]])</f>
        <v>26</v>
      </c>
    </row>
    <row r="905" spans="1:5">
      <c r="A905" t="s">
        <v>0</v>
      </c>
      <c r="B905" t="s">
        <v>106</v>
      </c>
      <c r="C905" s="5">
        <v>45470</v>
      </c>
      <c r="D905">
        <v>139</v>
      </c>
      <c r="E905">
        <f>WEEKNUM(Append321[[#This Row],[Date]])</f>
        <v>26</v>
      </c>
    </row>
    <row r="906" spans="1:5">
      <c r="A906" t="s">
        <v>0</v>
      </c>
      <c r="B906" t="s">
        <v>106</v>
      </c>
      <c r="C906" s="5">
        <v>45471</v>
      </c>
      <c r="D906">
        <v>129</v>
      </c>
      <c r="E906">
        <f>WEEKNUM(Append321[[#This Row],[Date]])</f>
        <v>26</v>
      </c>
    </row>
    <row r="907" spans="1:5">
      <c r="A907" t="s">
        <v>0</v>
      </c>
      <c r="B907" t="s">
        <v>106</v>
      </c>
      <c r="C907" s="5">
        <v>45472</v>
      </c>
      <c r="D907">
        <v>155</v>
      </c>
      <c r="E907">
        <f>WEEKNUM(Append321[[#This Row],[Date]])</f>
        <v>26</v>
      </c>
    </row>
    <row r="908" spans="1:5">
      <c r="A908" t="s">
        <v>0</v>
      </c>
      <c r="B908" t="s">
        <v>106</v>
      </c>
      <c r="C908" s="5">
        <v>45473</v>
      </c>
      <c r="D908">
        <v>128</v>
      </c>
      <c r="E908">
        <f>WEEKNUM(Append321[[#This Row],[Date]])</f>
        <v>27</v>
      </c>
    </row>
    <row r="909" spans="1:5">
      <c r="A909" t="s">
        <v>0</v>
      </c>
      <c r="B909" t="s">
        <v>106</v>
      </c>
      <c r="C909" s="5">
        <v>45474</v>
      </c>
      <c r="D909">
        <v>145</v>
      </c>
      <c r="E909">
        <f>WEEKNUM(Append321[[#This Row],[Date]])</f>
        <v>27</v>
      </c>
    </row>
    <row r="910" spans="1:5">
      <c r="A910" t="s">
        <v>0</v>
      </c>
      <c r="B910" t="s">
        <v>106</v>
      </c>
      <c r="C910" s="5">
        <v>45475</v>
      </c>
      <c r="D910">
        <v>177</v>
      </c>
      <c r="E910">
        <f>WEEKNUM(Append321[[#This Row],[Date]])</f>
        <v>27</v>
      </c>
    </row>
    <row r="911" spans="1:5">
      <c r="A911" t="s">
        <v>0</v>
      </c>
      <c r="B911" t="s">
        <v>106</v>
      </c>
      <c r="C911" s="5">
        <v>45476</v>
      </c>
      <c r="D911">
        <v>179</v>
      </c>
      <c r="E911">
        <f>WEEKNUM(Append321[[#This Row],[Date]])</f>
        <v>27</v>
      </c>
    </row>
    <row r="912" spans="1:5">
      <c r="A912" t="s">
        <v>0</v>
      </c>
      <c r="B912" t="s">
        <v>106</v>
      </c>
      <c r="C912" s="5">
        <v>45477</v>
      </c>
      <c r="D912">
        <v>171</v>
      </c>
      <c r="E912">
        <f>WEEKNUM(Append321[[#This Row],[Date]])</f>
        <v>27</v>
      </c>
    </row>
    <row r="913" spans="1:5">
      <c r="A913" t="s">
        <v>0</v>
      </c>
      <c r="B913" t="s">
        <v>106</v>
      </c>
      <c r="C913" s="5">
        <v>45478</v>
      </c>
      <c r="D913">
        <v>166</v>
      </c>
      <c r="E913">
        <f>WEEKNUM(Append321[[#This Row],[Date]])</f>
        <v>27</v>
      </c>
    </row>
    <row r="914" spans="1:5">
      <c r="A914" t="s">
        <v>0</v>
      </c>
      <c r="B914" t="s">
        <v>106</v>
      </c>
      <c r="C914" s="5">
        <v>45479</v>
      </c>
      <c r="D914">
        <v>148</v>
      </c>
      <c r="E914">
        <f>WEEKNUM(Append321[[#This Row],[Date]])</f>
        <v>27</v>
      </c>
    </row>
    <row r="915" spans="1:5">
      <c r="A915" t="s">
        <v>0</v>
      </c>
      <c r="B915" t="s">
        <v>106</v>
      </c>
      <c r="C915" s="5">
        <v>45480</v>
      </c>
      <c r="D915">
        <v>142</v>
      </c>
      <c r="E915">
        <f>WEEKNUM(Append321[[#This Row],[Date]])</f>
        <v>28</v>
      </c>
    </row>
    <row r="916" spans="1:5">
      <c r="A916" t="s">
        <v>0</v>
      </c>
      <c r="B916" t="s">
        <v>106</v>
      </c>
      <c r="C916" s="5">
        <v>45481</v>
      </c>
      <c r="D916">
        <v>134</v>
      </c>
      <c r="E916">
        <f>WEEKNUM(Append321[[#This Row],[Date]])</f>
        <v>28</v>
      </c>
    </row>
    <row r="917" spans="1:5">
      <c r="A917" t="s">
        <v>0</v>
      </c>
      <c r="B917" t="s">
        <v>106</v>
      </c>
      <c r="C917" s="5">
        <v>45482</v>
      </c>
      <c r="D917">
        <v>139</v>
      </c>
      <c r="E917">
        <f>WEEKNUM(Append321[[#This Row],[Date]])</f>
        <v>28</v>
      </c>
    </row>
    <row r="918" spans="1:5">
      <c r="A918" t="s">
        <v>0</v>
      </c>
      <c r="B918" t="s">
        <v>106</v>
      </c>
      <c r="C918" s="5">
        <v>45483</v>
      </c>
      <c r="D918">
        <v>209</v>
      </c>
      <c r="E918">
        <f>WEEKNUM(Append321[[#This Row],[Date]])</f>
        <v>28</v>
      </c>
    </row>
    <row r="919" spans="1:5">
      <c r="A919" t="s">
        <v>0</v>
      </c>
      <c r="B919" t="s">
        <v>106</v>
      </c>
      <c r="C919" s="5">
        <v>45484</v>
      </c>
      <c r="D919">
        <v>147</v>
      </c>
      <c r="E919">
        <f>WEEKNUM(Append321[[#This Row],[Date]])</f>
        <v>28</v>
      </c>
    </row>
    <row r="920" spans="1:5">
      <c r="A920" t="s">
        <v>0</v>
      </c>
      <c r="B920" t="s">
        <v>106</v>
      </c>
      <c r="C920" s="5">
        <v>45485</v>
      </c>
      <c r="D920">
        <v>176</v>
      </c>
      <c r="E920">
        <f>WEEKNUM(Append321[[#This Row],[Date]])</f>
        <v>28</v>
      </c>
    </row>
    <row r="921" spans="1:5">
      <c r="A921" t="s">
        <v>0</v>
      </c>
      <c r="B921" t="s">
        <v>106</v>
      </c>
      <c r="C921" s="5">
        <v>45486</v>
      </c>
      <c r="D921">
        <v>166</v>
      </c>
      <c r="E921">
        <f>WEEKNUM(Append321[[#This Row],[Date]])</f>
        <v>28</v>
      </c>
    </row>
    <row r="922" spans="1:5">
      <c r="A922" t="s">
        <v>0</v>
      </c>
      <c r="B922" t="s">
        <v>106</v>
      </c>
      <c r="C922" s="5">
        <v>45487</v>
      </c>
      <c r="D922">
        <v>190</v>
      </c>
      <c r="E922">
        <f>WEEKNUM(Append321[[#This Row],[Date]])</f>
        <v>29</v>
      </c>
    </row>
    <row r="923" spans="1:5">
      <c r="A923" t="s">
        <v>0</v>
      </c>
      <c r="B923" t="s">
        <v>106</v>
      </c>
      <c r="C923" s="5">
        <v>45488</v>
      </c>
      <c r="D923">
        <v>189</v>
      </c>
      <c r="E923">
        <f>WEEKNUM(Append321[[#This Row],[Date]])</f>
        <v>29</v>
      </c>
    </row>
    <row r="924" spans="1:5">
      <c r="A924" t="s">
        <v>0</v>
      </c>
      <c r="B924" t="s">
        <v>106</v>
      </c>
      <c r="C924" s="5">
        <v>45489</v>
      </c>
      <c r="D924">
        <v>164</v>
      </c>
      <c r="E924">
        <f>WEEKNUM(Append321[[#This Row],[Date]])</f>
        <v>29</v>
      </c>
    </row>
    <row r="925" spans="1:5">
      <c r="A925" t="s">
        <v>0</v>
      </c>
      <c r="B925" t="s">
        <v>106</v>
      </c>
      <c r="C925" s="5">
        <v>45490</v>
      </c>
      <c r="D925">
        <v>219</v>
      </c>
      <c r="E925">
        <f>WEEKNUM(Append321[[#This Row],[Date]])</f>
        <v>29</v>
      </c>
    </row>
    <row r="926" spans="1:5">
      <c r="A926" t="s">
        <v>0</v>
      </c>
      <c r="B926" t="s">
        <v>106</v>
      </c>
      <c r="C926" s="5">
        <v>45491</v>
      </c>
      <c r="D926">
        <v>158</v>
      </c>
      <c r="E926">
        <f>WEEKNUM(Append321[[#This Row],[Date]])</f>
        <v>29</v>
      </c>
    </row>
    <row r="927" spans="1:5">
      <c r="A927" t="s">
        <v>0</v>
      </c>
      <c r="B927" t="s">
        <v>106</v>
      </c>
      <c r="C927" s="5">
        <v>45492</v>
      </c>
      <c r="D927">
        <v>180</v>
      </c>
      <c r="E927">
        <f>WEEKNUM(Append321[[#This Row],[Date]])</f>
        <v>29</v>
      </c>
    </row>
    <row r="928" spans="1:5">
      <c r="A928" t="s">
        <v>0</v>
      </c>
      <c r="B928" t="s">
        <v>106</v>
      </c>
      <c r="C928" s="5">
        <v>45493</v>
      </c>
      <c r="D928">
        <v>166</v>
      </c>
      <c r="E928">
        <f>WEEKNUM(Append321[[#This Row],[Date]])</f>
        <v>29</v>
      </c>
    </row>
    <row r="929" spans="1:5">
      <c r="A929" t="s">
        <v>0</v>
      </c>
      <c r="B929" t="s">
        <v>106</v>
      </c>
      <c r="C929" s="5">
        <v>45494</v>
      </c>
      <c r="D929">
        <v>147</v>
      </c>
      <c r="E929">
        <f>WEEKNUM(Append321[[#This Row],[Date]])</f>
        <v>30</v>
      </c>
    </row>
    <row r="930" spans="1:5">
      <c r="A930" t="s">
        <v>0</v>
      </c>
      <c r="B930" t="s">
        <v>106</v>
      </c>
      <c r="C930" s="5">
        <v>45495</v>
      </c>
      <c r="D930">
        <v>162</v>
      </c>
      <c r="E930">
        <f>WEEKNUM(Append321[[#This Row],[Date]])</f>
        <v>30</v>
      </c>
    </row>
    <row r="931" spans="1:5">
      <c r="A931" t="s">
        <v>0</v>
      </c>
      <c r="B931" t="s">
        <v>106</v>
      </c>
      <c r="C931" s="5">
        <v>45496</v>
      </c>
      <c r="D931">
        <v>157</v>
      </c>
      <c r="E931">
        <f>WEEKNUM(Append321[[#This Row],[Date]])</f>
        <v>30</v>
      </c>
    </row>
    <row r="932" spans="1:5">
      <c r="A932" t="s">
        <v>0</v>
      </c>
      <c r="B932" t="s">
        <v>106</v>
      </c>
      <c r="C932" s="5">
        <v>45497</v>
      </c>
      <c r="D932">
        <v>187</v>
      </c>
      <c r="E932">
        <f>WEEKNUM(Append321[[#This Row],[Date]])</f>
        <v>30</v>
      </c>
    </row>
    <row r="933" spans="1:5">
      <c r="A933" t="s">
        <v>0</v>
      </c>
      <c r="B933" t="s">
        <v>106</v>
      </c>
      <c r="C933" s="5">
        <v>45498</v>
      </c>
      <c r="D933">
        <v>154</v>
      </c>
      <c r="E933">
        <f>WEEKNUM(Append321[[#This Row],[Date]])</f>
        <v>30</v>
      </c>
    </row>
    <row r="934" spans="1:5">
      <c r="A934" t="s">
        <v>0</v>
      </c>
      <c r="B934" t="s">
        <v>106</v>
      </c>
      <c r="C934" s="5">
        <v>45499</v>
      </c>
      <c r="D934">
        <v>178</v>
      </c>
      <c r="E934">
        <f>WEEKNUM(Append321[[#This Row],[Date]])</f>
        <v>30</v>
      </c>
    </row>
    <row r="935" spans="1:5">
      <c r="A935" t="s">
        <v>0</v>
      </c>
      <c r="B935" t="s">
        <v>106</v>
      </c>
      <c r="C935" s="5">
        <v>45500</v>
      </c>
      <c r="D935">
        <v>191</v>
      </c>
      <c r="E935">
        <f>WEEKNUM(Append321[[#This Row],[Date]])</f>
        <v>30</v>
      </c>
    </row>
    <row r="936" spans="1:5">
      <c r="A936" t="s">
        <v>0</v>
      </c>
      <c r="B936" t="s">
        <v>106</v>
      </c>
      <c r="C936" s="5">
        <v>45501</v>
      </c>
      <c r="D936">
        <v>152</v>
      </c>
      <c r="E936">
        <f>WEEKNUM(Append321[[#This Row],[Date]])</f>
        <v>31</v>
      </c>
    </row>
    <row r="937" spans="1:5">
      <c r="A937" t="s">
        <v>0</v>
      </c>
      <c r="B937" t="s">
        <v>106</v>
      </c>
      <c r="C937" s="5">
        <v>45502</v>
      </c>
      <c r="D937">
        <v>183</v>
      </c>
      <c r="E937">
        <f>WEEKNUM(Append321[[#This Row],[Date]])</f>
        <v>31</v>
      </c>
    </row>
    <row r="938" spans="1:5">
      <c r="A938" t="s">
        <v>0</v>
      </c>
      <c r="B938" t="s">
        <v>106</v>
      </c>
      <c r="C938" s="5">
        <v>45503</v>
      </c>
      <c r="D938">
        <v>188</v>
      </c>
      <c r="E938">
        <f>WEEKNUM(Append321[[#This Row],[Date]])</f>
        <v>31</v>
      </c>
    </row>
    <row r="939" spans="1:5">
      <c r="A939" t="s">
        <v>0</v>
      </c>
      <c r="B939" t="s">
        <v>106</v>
      </c>
      <c r="C939" s="5">
        <v>45504</v>
      </c>
      <c r="D939">
        <v>195</v>
      </c>
      <c r="E939">
        <f>WEEKNUM(Append321[[#This Row],[Date]])</f>
        <v>31</v>
      </c>
    </row>
    <row r="940" spans="1:5">
      <c r="A940" t="s">
        <v>0</v>
      </c>
      <c r="B940" t="s">
        <v>106</v>
      </c>
      <c r="C940" s="5">
        <v>45505</v>
      </c>
      <c r="D940">
        <v>165</v>
      </c>
      <c r="E940">
        <f>WEEKNUM(Append321[[#This Row],[Date]])</f>
        <v>31</v>
      </c>
    </row>
    <row r="941" spans="1:5">
      <c r="A941" t="s">
        <v>0</v>
      </c>
      <c r="B941" t="s">
        <v>106</v>
      </c>
      <c r="C941" s="5">
        <v>45506</v>
      </c>
      <c r="D941">
        <v>230</v>
      </c>
      <c r="E941">
        <f>WEEKNUM(Append321[[#This Row],[Date]])</f>
        <v>31</v>
      </c>
    </row>
    <row r="942" spans="1:5">
      <c r="A942" t="s">
        <v>0</v>
      </c>
      <c r="B942" t="s">
        <v>106</v>
      </c>
      <c r="C942" s="5">
        <v>45507</v>
      </c>
      <c r="D942">
        <v>186</v>
      </c>
      <c r="E942">
        <f>WEEKNUM(Append321[[#This Row],[Date]])</f>
        <v>31</v>
      </c>
    </row>
    <row r="943" spans="1:5">
      <c r="A943" t="s">
        <v>0</v>
      </c>
      <c r="B943" t="s">
        <v>106</v>
      </c>
      <c r="C943" s="5">
        <v>45508</v>
      </c>
      <c r="D943">
        <v>190</v>
      </c>
      <c r="E943">
        <f>WEEKNUM(Append321[[#This Row],[Date]])</f>
        <v>32</v>
      </c>
    </row>
    <row r="944" spans="1:5">
      <c r="A944" t="s">
        <v>0</v>
      </c>
      <c r="B944" t="s">
        <v>106</v>
      </c>
      <c r="C944" s="5">
        <v>45509</v>
      </c>
      <c r="D944">
        <v>176</v>
      </c>
      <c r="E944">
        <f>WEEKNUM(Append321[[#This Row],[Date]])</f>
        <v>32</v>
      </c>
    </row>
    <row r="945" spans="1:5">
      <c r="A945" t="s">
        <v>0</v>
      </c>
      <c r="B945" t="s">
        <v>106</v>
      </c>
      <c r="C945" s="5">
        <v>45510</v>
      </c>
      <c r="D945">
        <v>190</v>
      </c>
      <c r="E945">
        <f>WEEKNUM(Append321[[#This Row],[Date]])</f>
        <v>32</v>
      </c>
    </row>
    <row r="946" spans="1:5">
      <c r="A946" t="s">
        <v>0</v>
      </c>
      <c r="B946" t="s">
        <v>106</v>
      </c>
      <c r="C946" s="5">
        <v>45511</v>
      </c>
      <c r="D946">
        <v>172</v>
      </c>
      <c r="E946">
        <f>WEEKNUM(Append321[[#This Row],[Date]])</f>
        <v>32</v>
      </c>
    </row>
    <row r="947" spans="1:5">
      <c r="A947" t="s">
        <v>0</v>
      </c>
      <c r="B947" t="s">
        <v>106</v>
      </c>
      <c r="C947" s="5">
        <v>45512</v>
      </c>
      <c r="D947">
        <v>143</v>
      </c>
      <c r="E947">
        <f>WEEKNUM(Append321[[#This Row],[Date]])</f>
        <v>32</v>
      </c>
    </row>
    <row r="948" spans="1:5">
      <c r="A948" t="s">
        <v>0</v>
      </c>
      <c r="B948" t="s">
        <v>106</v>
      </c>
      <c r="C948" s="5">
        <v>45513</v>
      </c>
      <c r="D948">
        <v>128</v>
      </c>
      <c r="E948">
        <f>WEEKNUM(Append321[[#This Row],[Date]])</f>
        <v>32</v>
      </c>
    </row>
    <row r="949" spans="1:5">
      <c r="A949" t="s">
        <v>0</v>
      </c>
      <c r="B949" t="s">
        <v>106</v>
      </c>
      <c r="C949" s="5">
        <v>45514</v>
      </c>
      <c r="D949">
        <v>194</v>
      </c>
      <c r="E949">
        <f>WEEKNUM(Append321[[#This Row],[Date]])</f>
        <v>32</v>
      </c>
    </row>
    <row r="950" spans="1:5">
      <c r="A950" t="s">
        <v>0</v>
      </c>
      <c r="B950" t="s">
        <v>106</v>
      </c>
      <c r="C950" s="5">
        <v>45515</v>
      </c>
      <c r="D950">
        <v>199</v>
      </c>
      <c r="E950">
        <f>WEEKNUM(Append321[[#This Row],[Date]])</f>
        <v>33</v>
      </c>
    </row>
    <row r="951" spans="1:5">
      <c r="A951" t="s">
        <v>0</v>
      </c>
      <c r="B951" t="s">
        <v>106</v>
      </c>
      <c r="C951" s="5">
        <v>45516</v>
      </c>
      <c r="D951">
        <v>181</v>
      </c>
      <c r="E951">
        <f>WEEKNUM(Append321[[#This Row],[Date]])</f>
        <v>33</v>
      </c>
    </row>
    <row r="952" spans="1:5">
      <c r="A952" t="s">
        <v>0</v>
      </c>
      <c r="B952" t="s">
        <v>106</v>
      </c>
      <c r="C952" s="5">
        <v>45517</v>
      </c>
      <c r="D952">
        <v>207</v>
      </c>
      <c r="E952">
        <f>WEEKNUM(Append321[[#This Row],[Date]])</f>
        <v>33</v>
      </c>
    </row>
    <row r="953" spans="1:5">
      <c r="A953" t="s">
        <v>0</v>
      </c>
      <c r="B953" t="s">
        <v>106</v>
      </c>
      <c r="C953" s="5">
        <v>45518</v>
      </c>
      <c r="D953">
        <v>180</v>
      </c>
      <c r="E953">
        <f>WEEKNUM(Append321[[#This Row],[Date]])</f>
        <v>33</v>
      </c>
    </row>
    <row r="954" spans="1:5">
      <c r="A954" t="s">
        <v>0</v>
      </c>
      <c r="B954" t="s">
        <v>106</v>
      </c>
      <c r="C954" s="5">
        <v>45519</v>
      </c>
      <c r="D954">
        <v>222</v>
      </c>
      <c r="E954">
        <f>WEEKNUM(Append321[[#This Row],[Date]])</f>
        <v>33</v>
      </c>
    </row>
    <row r="955" spans="1:5">
      <c r="A955" t="s">
        <v>0</v>
      </c>
      <c r="B955" t="s">
        <v>106</v>
      </c>
      <c r="C955" s="5">
        <v>45520</v>
      </c>
      <c r="D955">
        <v>176</v>
      </c>
      <c r="E955">
        <f>WEEKNUM(Append321[[#This Row],[Date]])</f>
        <v>33</v>
      </c>
    </row>
    <row r="956" spans="1:5">
      <c r="A956" t="s">
        <v>0</v>
      </c>
      <c r="B956" t="s">
        <v>106</v>
      </c>
      <c r="C956" s="5">
        <v>45521</v>
      </c>
      <c r="D956">
        <v>216</v>
      </c>
      <c r="E956">
        <f>WEEKNUM(Append321[[#This Row],[Date]])</f>
        <v>33</v>
      </c>
    </row>
    <row r="957" spans="1:5">
      <c r="A957" t="s">
        <v>0</v>
      </c>
      <c r="B957" t="s">
        <v>106</v>
      </c>
      <c r="C957" s="5">
        <v>45522</v>
      </c>
      <c r="D957">
        <v>220</v>
      </c>
      <c r="E957">
        <f>WEEKNUM(Append321[[#This Row],[Date]])</f>
        <v>34</v>
      </c>
    </row>
    <row r="958" spans="1:5">
      <c r="A958" t="s">
        <v>0</v>
      </c>
      <c r="B958" t="s">
        <v>106</v>
      </c>
      <c r="C958" s="5">
        <v>45523</v>
      </c>
      <c r="D958">
        <v>207</v>
      </c>
      <c r="E958">
        <f>WEEKNUM(Append321[[#This Row],[Date]])</f>
        <v>34</v>
      </c>
    </row>
    <row r="959" spans="1:5">
      <c r="A959" t="s">
        <v>0</v>
      </c>
      <c r="B959" t="s">
        <v>106</v>
      </c>
      <c r="C959" s="5">
        <v>45524</v>
      </c>
      <c r="D959">
        <v>199</v>
      </c>
      <c r="E959">
        <f>WEEKNUM(Append321[[#This Row],[Date]])</f>
        <v>34</v>
      </c>
    </row>
    <row r="960" spans="1:5">
      <c r="A960" t="s">
        <v>0</v>
      </c>
      <c r="B960" t="s">
        <v>106</v>
      </c>
      <c r="C960" s="5">
        <v>45525</v>
      </c>
      <c r="D960">
        <v>205</v>
      </c>
      <c r="E960">
        <f>WEEKNUM(Append321[[#This Row],[Date]])</f>
        <v>34</v>
      </c>
    </row>
    <row r="961" spans="1:5">
      <c r="A961" t="s">
        <v>0</v>
      </c>
      <c r="B961" t="s">
        <v>106</v>
      </c>
      <c r="C961" s="5">
        <v>45526</v>
      </c>
      <c r="D961">
        <v>195</v>
      </c>
      <c r="E961">
        <f>WEEKNUM(Append321[[#This Row],[Date]])</f>
        <v>34</v>
      </c>
    </row>
    <row r="962" spans="1:5">
      <c r="A962" t="s">
        <v>0</v>
      </c>
      <c r="B962" t="s">
        <v>106</v>
      </c>
      <c r="C962" s="5">
        <v>45527</v>
      </c>
      <c r="D962">
        <v>201</v>
      </c>
      <c r="E962">
        <f>WEEKNUM(Append321[[#This Row],[Date]])</f>
        <v>34</v>
      </c>
    </row>
    <row r="963" spans="1:5">
      <c r="A963" t="s">
        <v>0</v>
      </c>
      <c r="B963" t="s">
        <v>106</v>
      </c>
      <c r="C963" s="5">
        <v>45528</v>
      </c>
      <c r="D963">
        <v>190</v>
      </c>
      <c r="E963">
        <f>WEEKNUM(Append321[[#This Row],[Date]])</f>
        <v>34</v>
      </c>
    </row>
    <row r="964" spans="1:5">
      <c r="A964" t="s">
        <v>0</v>
      </c>
      <c r="B964" t="s">
        <v>106</v>
      </c>
      <c r="C964" s="5">
        <v>45529</v>
      </c>
      <c r="D964">
        <v>184</v>
      </c>
      <c r="E964">
        <f>WEEKNUM(Append321[[#This Row],[Date]])</f>
        <v>35</v>
      </c>
    </row>
    <row r="965" spans="1:5">
      <c r="A965" t="s">
        <v>0</v>
      </c>
      <c r="B965" t="s">
        <v>106</v>
      </c>
      <c r="C965" s="5">
        <v>45530</v>
      </c>
      <c r="D965">
        <v>202</v>
      </c>
      <c r="E965">
        <f>WEEKNUM(Append321[[#This Row],[Date]])</f>
        <v>35</v>
      </c>
    </row>
    <row r="966" spans="1:5">
      <c r="A966" t="s">
        <v>0</v>
      </c>
      <c r="B966" t="s">
        <v>106</v>
      </c>
      <c r="C966" s="5">
        <v>45531</v>
      </c>
      <c r="D966">
        <v>204</v>
      </c>
      <c r="E966">
        <f>WEEKNUM(Append321[[#This Row],[Date]])</f>
        <v>35</v>
      </c>
    </row>
    <row r="967" spans="1:5">
      <c r="A967" t="s">
        <v>0</v>
      </c>
      <c r="B967" t="s">
        <v>106</v>
      </c>
      <c r="C967" s="5">
        <v>45532</v>
      </c>
      <c r="D967">
        <v>235</v>
      </c>
      <c r="E967">
        <f>WEEKNUM(Append321[[#This Row],[Date]])</f>
        <v>35</v>
      </c>
    </row>
    <row r="968" spans="1:5">
      <c r="A968" t="s">
        <v>0</v>
      </c>
      <c r="B968" t="s">
        <v>106</v>
      </c>
      <c r="C968" s="5">
        <v>45533</v>
      </c>
      <c r="D968">
        <v>215</v>
      </c>
      <c r="E968">
        <f>WEEKNUM(Append321[[#This Row],[Date]])</f>
        <v>35</v>
      </c>
    </row>
    <row r="969" spans="1:5">
      <c r="A969" t="s">
        <v>0</v>
      </c>
      <c r="B969" t="s">
        <v>106</v>
      </c>
      <c r="C969" s="5">
        <v>45534</v>
      </c>
      <c r="D969">
        <v>193</v>
      </c>
      <c r="E969">
        <f>WEEKNUM(Append321[[#This Row],[Date]])</f>
        <v>35</v>
      </c>
    </row>
    <row r="970" spans="1:5">
      <c r="A970" t="s">
        <v>0</v>
      </c>
      <c r="B970" t="s">
        <v>106</v>
      </c>
      <c r="C970" s="5">
        <v>45535</v>
      </c>
      <c r="D970">
        <v>234</v>
      </c>
      <c r="E970">
        <f>WEEKNUM(Append321[[#This Row],[Date]])</f>
        <v>35</v>
      </c>
    </row>
    <row r="971" spans="1:5">
      <c r="A971" t="s">
        <v>0</v>
      </c>
      <c r="B971" t="s">
        <v>107</v>
      </c>
      <c r="C971" s="5">
        <v>45524</v>
      </c>
      <c r="D971">
        <v>1</v>
      </c>
      <c r="E971">
        <f>WEEKNUM(Append321[[#This Row],[Date]])</f>
        <v>34</v>
      </c>
    </row>
    <row r="972" spans="1:5">
      <c r="A972" t="s">
        <v>0</v>
      </c>
      <c r="B972" t="s">
        <v>107</v>
      </c>
      <c r="C972" s="5">
        <v>45525</v>
      </c>
      <c r="D972">
        <v>6</v>
      </c>
      <c r="E972">
        <f>WEEKNUM(Append321[[#This Row],[Date]])</f>
        <v>34</v>
      </c>
    </row>
    <row r="973" spans="1:5">
      <c r="A973" t="s">
        <v>0</v>
      </c>
      <c r="B973" t="s">
        <v>107</v>
      </c>
      <c r="C973" s="5">
        <v>45526</v>
      </c>
      <c r="D973">
        <v>6</v>
      </c>
      <c r="E973">
        <f>WEEKNUM(Append321[[#This Row],[Date]])</f>
        <v>34</v>
      </c>
    </row>
    <row r="974" spans="1:5">
      <c r="A974" t="s">
        <v>0</v>
      </c>
      <c r="B974" t="s">
        <v>107</v>
      </c>
      <c r="C974" s="5">
        <v>45527</v>
      </c>
      <c r="D974">
        <v>4</v>
      </c>
      <c r="E974">
        <f>WEEKNUM(Append321[[#This Row],[Date]])</f>
        <v>34</v>
      </c>
    </row>
    <row r="975" spans="1:5">
      <c r="A975" t="s">
        <v>0</v>
      </c>
      <c r="B975" t="s">
        <v>107</v>
      </c>
      <c r="C975" s="5">
        <v>45528</v>
      </c>
      <c r="D975">
        <v>11</v>
      </c>
      <c r="E975">
        <f>WEEKNUM(Append321[[#This Row],[Date]])</f>
        <v>34</v>
      </c>
    </row>
    <row r="976" spans="1:5">
      <c r="A976" t="s">
        <v>0</v>
      </c>
      <c r="B976" t="s">
        <v>107</v>
      </c>
      <c r="C976" s="5">
        <v>45529</v>
      </c>
      <c r="D976">
        <v>8</v>
      </c>
      <c r="E976">
        <f>WEEKNUM(Append321[[#This Row],[Date]])</f>
        <v>35</v>
      </c>
    </row>
    <row r="977" spans="1:5">
      <c r="A977" t="s">
        <v>0</v>
      </c>
      <c r="B977" t="s">
        <v>107</v>
      </c>
      <c r="C977" s="5">
        <v>45530</v>
      </c>
      <c r="D977">
        <v>6</v>
      </c>
      <c r="E977">
        <f>WEEKNUM(Append321[[#This Row],[Date]])</f>
        <v>35</v>
      </c>
    </row>
    <row r="978" spans="1:5">
      <c r="A978" t="s">
        <v>0</v>
      </c>
      <c r="B978" t="s">
        <v>107</v>
      </c>
      <c r="C978" s="5">
        <v>45531</v>
      </c>
      <c r="D978">
        <v>6</v>
      </c>
      <c r="E978">
        <f>WEEKNUM(Append321[[#This Row],[Date]])</f>
        <v>35</v>
      </c>
    </row>
    <row r="979" spans="1:5">
      <c r="A979" t="s">
        <v>0</v>
      </c>
      <c r="B979" t="s">
        <v>107</v>
      </c>
      <c r="C979" s="5">
        <v>45532</v>
      </c>
      <c r="D979">
        <v>5</v>
      </c>
      <c r="E979">
        <f>WEEKNUM(Append321[[#This Row],[Date]])</f>
        <v>35</v>
      </c>
    </row>
    <row r="980" spans="1:5">
      <c r="A980" t="s">
        <v>0</v>
      </c>
      <c r="B980" t="s">
        <v>107</v>
      </c>
      <c r="C980" s="5">
        <v>45533</v>
      </c>
      <c r="D980">
        <v>5</v>
      </c>
      <c r="E980">
        <f>WEEKNUM(Append321[[#This Row],[Date]])</f>
        <v>35</v>
      </c>
    </row>
    <row r="981" spans="1:5">
      <c r="A981" t="s">
        <v>0</v>
      </c>
      <c r="B981" t="s">
        <v>107</v>
      </c>
      <c r="C981" s="5">
        <v>45534</v>
      </c>
      <c r="D981">
        <v>7</v>
      </c>
      <c r="E981">
        <f>WEEKNUM(Append321[[#This Row],[Date]])</f>
        <v>35</v>
      </c>
    </row>
    <row r="982" spans="1:5">
      <c r="A982" t="s">
        <v>0</v>
      </c>
      <c r="B982" t="s">
        <v>107</v>
      </c>
      <c r="C982" s="5">
        <v>45535</v>
      </c>
      <c r="D982">
        <v>6</v>
      </c>
      <c r="E982">
        <f>WEEKNUM(Append321[[#This Row],[Date]])</f>
        <v>35</v>
      </c>
    </row>
    <row r="983" spans="1:5">
      <c r="A983" t="s">
        <v>110</v>
      </c>
      <c r="B983" t="s">
        <v>94</v>
      </c>
      <c r="C983" s="5">
        <v>45444</v>
      </c>
      <c r="D983">
        <v>11</v>
      </c>
      <c r="E983">
        <f>WEEKNUM(Append321[[#This Row],[Date]])</f>
        <v>22</v>
      </c>
    </row>
    <row r="984" spans="1:5">
      <c r="A984" t="s">
        <v>110</v>
      </c>
      <c r="B984" t="s">
        <v>94</v>
      </c>
      <c r="C984" s="5">
        <v>45445</v>
      </c>
      <c r="D984">
        <v>13</v>
      </c>
      <c r="E984">
        <f>WEEKNUM(Append321[[#This Row],[Date]])</f>
        <v>23</v>
      </c>
    </row>
    <row r="985" spans="1:5">
      <c r="A985" t="s">
        <v>110</v>
      </c>
      <c r="B985" t="s">
        <v>94</v>
      </c>
      <c r="C985" s="5">
        <v>45446</v>
      </c>
      <c r="D985">
        <v>6</v>
      </c>
      <c r="E985">
        <f>WEEKNUM(Append321[[#This Row],[Date]])</f>
        <v>23</v>
      </c>
    </row>
    <row r="986" spans="1:5">
      <c r="A986" t="s">
        <v>110</v>
      </c>
      <c r="B986" t="s">
        <v>94</v>
      </c>
      <c r="C986" s="5">
        <v>45447</v>
      </c>
      <c r="D986">
        <v>7</v>
      </c>
      <c r="E986">
        <f>WEEKNUM(Append321[[#This Row],[Date]])</f>
        <v>23</v>
      </c>
    </row>
    <row r="987" spans="1:5">
      <c r="A987" t="s">
        <v>110</v>
      </c>
      <c r="B987" t="s">
        <v>94</v>
      </c>
      <c r="C987" s="5">
        <v>45448</v>
      </c>
      <c r="D987">
        <v>6</v>
      </c>
      <c r="E987">
        <f>WEEKNUM(Append321[[#This Row],[Date]])</f>
        <v>23</v>
      </c>
    </row>
    <row r="988" spans="1:5">
      <c r="A988" t="s">
        <v>110</v>
      </c>
      <c r="B988" t="s">
        <v>94</v>
      </c>
      <c r="C988" s="5">
        <v>45449</v>
      </c>
      <c r="D988">
        <v>5</v>
      </c>
      <c r="E988">
        <f>WEEKNUM(Append321[[#This Row],[Date]])</f>
        <v>23</v>
      </c>
    </row>
    <row r="989" spans="1:5">
      <c r="A989" t="s">
        <v>110</v>
      </c>
      <c r="B989" t="s">
        <v>94</v>
      </c>
      <c r="C989" s="5">
        <v>45450</v>
      </c>
      <c r="D989">
        <v>2</v>
      </c>
      <c r="E989">
        <f>WEEKNUM(Append321[[#This Row],[Date]])</f>
        <v>23</v>
      </c>
    </row>
    <row r="990" spans="1:5">
      <c r="A990" t="s">
        <v>110</v>
      </c>
      <c r="B990" t="s">
        <v>94</v>
      </c>
      <c r="C990" s="5">
        <v>45451</v>
      </c>
      <c r="D990">
        <v>4</v>
      </c>
      <c r="E990">
        <f>WEEKNUM(Append321[[#This Row],[Date]])</f>
        <v>23</v>
      </c>
    </row>
    <row r="991" spans="1:5">
      <c r="A991" t="s">
        <v>110</v>
      </c>
      <c r="B991" t="s">
        <v>94</v>
      </c>
      <c r="C991" s="5">
        <v>45453</v>
      </c>
      <c r="D991">
        <v>2</v>
      </c>
      <c r="E991">
        <f>WEEKNUM(Append321[[#This Row],[Date]])</f>
        <v>24</v>
      </c>
    </row>
    <row r="992" spans="1:5">
      <c r="A992" t="s">
        <v>110</v>
      </c>
      <c r="B992" t="s">
        <v>94</v>
      </c>
      <c r="C992" s="5">
        <v>45454</v>
      </c>
      <c r="D992">
        <v>6</v>
      </c>
      <c r="E992">
        <f>WEEKNUM(Append321[[#This Row],[Date]])</f>
        <v>24</v>
      </c>
    </row>
    <row r="993" spans="1:5">
      <c r="A993" t="s">
        <v>110</v>
      </c>
      <c r="B993" t="s">
        <v>94</v>
      </c>
      <c r="C993" s="5">
        <v>45455</v>
      </c>
      <c r="D993">
        <v>5</v>
      </c>
      <c r="E993">
        <f>WEEKNUM(Append321[[#This Row],[Date]])</f>
        <v>24</v>
      </c>
    </row>
    <row r="994" spans="1:5">
      <c r="A994" t="s">
        <v>110</v>
      </c>
      <c r="B994" t="s">
        <v>94</v>
      </c>
      <c r="C994" s="5">
        <v>45456</v>
      </c>
      <c r="D994">
        <v>3</v>
      </c>
      <c r="E994">
        <f>WEEKNUM(Append321[[#This Row],[Date]])</f>
        <v>24</v>
      </c>
    </row>
    <row r="995" spans="1:5">
      <c r="A995" t="s">
        <v>110</v>
      </c>
      <c r="B995" t="s">
        <v>94</v>
      </c>
      <c r="C995" s="5">
        <v>45457</v>
      </c>
      <c r="D995">
        <v>6</v>
      </c>
      <c r="E995">
        <f>WEEKNUM(Append321[[#This Row],[Date]])</f>
        <v>24</v>
      </c>
    </row>
    <row r="996" spans="1:5">
      <c r="A996" t="s">
        <v>110</v>
      </c>
      <c r="B996" t="s">
        <v>94</v>
      </c>
      <c r="C996" s="5">
        <v>45458</v>
      </c>
      <c r="D996">
        <v>4</v>
      </c>
      <c r="E996">
        <f>WEEKNUM(Append321[[#This Row],[Date]])</f>
        <v>24</v>
      </c>
    </row>
    <row r="997" spans="1:5">
      <c r="A997" t="s">
        <v>110</v>
      </c>
      <c r="B997" t="s">
        <v>94</v>
      </c>
      <c r="C997" s="5">
        <v>45459</v>
      </c>
      <c r="D997">
        <v>2</v>
      </c>
      <c r="E997">
        <f>WEEKNUM(Append321[[#This Row],[Date]])</f>
        <v>25</v>
      </c>
    </row>
    <row r="998" spans="1:5">
      <c r="A998" t="s">
        <v>110</v>
      </c>
      <c r="B998" t="s">
        <v>94</v>
      </c>
      <c r="C998" s="5">
        <v>45460</v>
      </c>
      <c r="D998">
        <v>4</v>
      </c>
      <c r="E998">
        <f>WEEKNUM(Append321[[#This Row],[Date]])</f>
        <v>25</v>
      </c>
    </row>
    <row r="999" spans="1:5">
      <c r="A999" t="s">
        <v>110</v>
      </c>
      <c r="B999" t="s">
        <v>94</v>
      </c>
      <c r="C999" s="5">
        <v>45461</v>
      </c>
      <c r="D999">
        <v>3</v>
      </c>
      <c r="E999">
        <f>WEEKNUM(Append321[[#This Row],[Date]])</f>
        <v>25</v>
      </c>
    </row>
    <row r="1000" spans="1:5">
      <c r="A1000" t="s">
        <v>110</v>
      </c>
      <c r="B1000" t="s">
        <v>94</v>
      </c>
      <c r="C1000" s="5">
        <v>45462</v>
      </c>
      <c r="D1000">
        <v>1</v>
      </c>
      <c r="E1000">
        <f>WEEKNUM(Append321[[#This Row],[Date]])</f>
        <v>25</v>
      </c>
    </row>
    <row r="1001" spans="1:5">
      <c r="A1001" t="s">
        <v>110</v>
      </c>
      <c r="B1001" t="s">
        <v>94</v>
      </c>
      <c r="C1001" s="5">
        <v>45464</v>
      </c>
      <c r="D1001">
        <v>3</v>
      </c>
      <c r="E1001">
        <f>WEEKNUM(Append321[[#This Row],[Date]])</f>
        <v>25</v>
      </c>
    </row>
    <row r="1002" spans="1:5">
      <c r="A1002" t="s">
        <v>110</v>
      </c>
      <c r="B1002" t="s">
        <v>94</v>
      </c>
      <c r="C1002" s="5">
        <v>45465</v>
      </c>
      <c r="D1002">
        <v>18</v>
      </c>
      <c r="E1002">
        <f>WEEKNUM(Append321[[#This Row],[Date]])</f>
        <v>25</v>
      </c>
    </row>
    <row r="1003" spans="1:5">
      <c r="A1003" t="s">
        <v>110</v>
      </c>
      <c r="B1003" t="s">
        <v>94</v>
      </c>
      <c r="C1003" s="5">
        <v>45466</v>
      </c>
      <c r="D1003">
        <v>10</v>
      </c>
      <c r="E1003">
        <f>WEEKNUM(Append321[[#This Row],[Date]])</f>
        <v>26</v>
      </c>
    </row>
    <row r="1004" spans="1:5">
      <c r="A1004" t="s">
        <v>110</v>
      </c>
      <c r="B1004" t="s">
        <v>94</v>
      </c>
      <c r="C1004" s="5">
        <v>45467</v>
      </c>
      <c r="D1004">
        <v>18</v>
      </c>
      <c r="E1004">
        <f>WEEKNUM(Append321[[#This Row],[Date]])</f>
        <v>26</v>
      </c>
    </row>
    <row r="1005" spans="1:5">
      <c r="A1005" t="s">
        <v>110</v>
      </c>
      <c r="B1005" t="s">
        <v>94</v>
      </c>
      <c r="C1005" s="5">
        <v>45468</v>
      </c>
      <c r="D1005">
        <v>15</v>
      </c>
      <c r="E1005">
        <f>WEEKNUM(Append321[[#This Row],[Date]])</f>
        <v>26</v>
      </c>
    </row>
    <row r="1006" spans="1:5">
      <c r="A1006" t="s">
        <v>110</v>
      </c>
      <c r="B1006" t="s">
        <v>94</v>
      </c>
      <c r="C1006" s="5">
        <v>45469</v>
      </c>
      <c r="D1006">
        <v>8</v>
      </c>
      <c r="E1006">
        <f>WEEKNUM(Append321[[#This Row],[Date]])</f>
        <v>26</v>
      </c>
    </row>
    <row r="1007" spans="1:5">
      <c r="A1007" t="s">
        <v>110</v>
      </c>
      <c r="B1007" t="s">
        <v>94</v>
      </c>
      <c r="C1007" s="5">
        <v>45470</v>
      </c>
      <c r="D1007">
        <v>11</v>
      </c>
      <c r="E1007">
        <f>WEEKNUM(Append321[[#This Row],[Date]])</f>
        <v>26</v>
      </c>
    </row>
    <row r="1008" spans="1:5">
      <c r="A1008" t="s">
        <v>110</v>
      </c>
      <c r="B1008" t="s">
        <v>94</v>
      </c>
      <c r="C1008" s="5">
        <v>45471</v>
      </c>
      <c r="D1008">
        <v>15</v>
      </c>
      <c r="E1008">
        <f>WEEKNUM(Append321[[#This Row],[Date]])</f>
        <v>26</v>
      </c>
    </row>
    <row r="1009" spans="1:5">
      <c r="A1009" t="s">
        <v>110</v>
      </c>
      <c r="B1009" t="s">
        <v>94</v>
      </c>
      <c r="C1009" s="5">
        <v>45472</v>
      </c>
      <c r="D1009">
        <v>28</v>
      </c>
      <c r="E1009">
        <f>WEEKNUM(Append321[[#This Row],[Date]])</f>
        <v>26</v>
      </c>
    </row>
    <row r="1010" spans="1:5">
      <c r="A1010" t="s">
        <v>110</v>
      </c>
      <c r="B1010" t="s">
        <v>94</v>
      </c>
      <c r="C1010" s="5">
        <v>45473</v>
      </c>
      <c r="D1010">
        <v>25</v>
      </c>
      <c r="E1010">
        <f>WEEKNUM(Append321[[#This Row],[Date]])</f>
        <v>27</v>
      </c>
    </row>
    <row r="1011" spans="1:5">
      <c r="A1011" t="s">
        <v>110</v>
      </c>
      <c r="B1011" t="s">
        <v>94</v>
      </c>
      <c r="C1011" s="5">
        <v>45474</v>
      </c>
      <c r="D1011">
        <v>32</v>
      </c>
      <c r="E1011">
        <f>WEEKNUM(Append321[[#This Row],[Date]])</f>
        <v>27</v>
      </c>
    </row>
    <row r="1012" spans="1:5">
      <c r="A1012" t="s">
        <v>110</v>
      </c>
      <c r="B1012" t="s">
        <v>94</v>
      </c>
      <c r="C1012" s="5">
        <v>45475</v>
      </c>
      <c r="D1012">
        <v>43</v>
      </c>
      <c r="E1012">
        <f>WEEKNUM(Append321[[#This Row],[Date]])</f>
        <v>27</v>
      </c>
    </row>
    <row r="1013" spans="1:5">
      <c r="A1013" t="s">
        <v>110</v>
      </c>
      <c r="B1013" t="s">
        <v>94</v>
      </c>
      <c r="C1013" s="5">
        <v>45476</v>
      </c>
      <c r="D1013">
        <v>46</v>
      </c>
      <c r="E1013">
        <f>WEEKNUM(Append321[[#This Row],[Date]])</f>
        <v>27</v>
      </c>
    </row>
    <row r="1014" spans="1:5">
      <c r="A1014" t="s">
        <v>110</v>
      </c>
      <c r="B1014" t="s">
        <v>94</v>
      </c>
      <c r="C1014" s="5">
        <v>45477</v>
      </c>
      <c r="D1014">
        <v>61</v>
      </c>
      <c r="E1014">
        <f>WEEKNUM(Append321[[#This Row],[Date]])</f>
        <v>27</v>
      </c>
    </row>
    <row r="1015" spans="1:5">
      <c r="A1015" t="s">
        <v>110</v>
      </c>
      <c r="B1015" t="s">
        <v>94</v>
      </c>
      <c r="C1015" s="5">
        <v>45478</v>
      </c>
      <c r="D1015">
        <v>36</v>
      </c>
      <c r="E1015">
        <f>WEEKNUM(Append321[[#This Row],[Date]])</f>
        <v>27</v>
      </c>
    </row>
    <row r="1016" spans="1:5">
      <c r="A1016" t="s">
        <v>110</v>
      </c>
      <c r="B1016" t="s">
        <v>94</v>
      </c>
      <c r="C1016" s="5">
        <v>45479</v>
      </c>
      <c r="D1016">
        <v>65</v>
      </c>
      <c r="E1016">
        <f>WEEKNUM(Append321[[#This Row],[Date]])</f>
        <v>27</v>
      </c>
    </row>
    <row r="1017" spans="1:5">
      <c r="A1017" t="s">
        <v>110</v>
      </c>
      <c r="B1017" t="s">
        <v>94</v>
      </c>
      <c r="C1017" s="5">
        <v>45480</v>
      </c>
      <c r="D1017">
        <v>33</v>
      </c>
      <c r="E1017">
        <f>WEEKNUM(Append321[[#This Row],[Date]])</f>
        <v>28</v>
      </c>
    </row>
    <row r="1018" spans="1:5">
      <c r="A1018" t="s">
        <v>110</v>
      </c>
      <c r="B1018" t="s">
        <v>94</v>
      </c>
      <c r="C1018" s="5">
        <v>45481</v>
      </c>
      <c r="D1018">
        <v>59</v>
      </c>
      <c r="E1018">
        <f>WEEKNUM(Append321[[#This Row],[Date]])</f>
        <v>28</v>
      </c>
    </row>
    <row r="1019" spans="1:5">
      <c r="A1019" t="s">
        <v>110</v>
      </c>
      <c r="B1019" t="s">
        <v>94</v>
      </c>
      <c r="C1019" s="5">
        <v>45482</v>
      </c>
      <c r="D1019">
        <v>54</v>
      </c>
      <c r="E1019">
        <f>WEEKNUM(Append321[[#This Row],[Date]])</f>
        <v>28</v>
      </c>
    </row>
    <row r="1020" spans="1:5">
      <c r="A1020" t="s">
        <v>110</v>
      </c>
      <c r="B1020" t="s">
        <v>94</v>
      </c>
      <c r="C1020" s="5">
        <v>45483</v>
      </c>
      <c r="D1020">
        <v>64</v>
      </c>
      <c r="E1020">
        <f>WEEKNUM(Append321[[#This Row],[Date]])</f>
        <v>28</v>
      </c>
    </row>
    <row r="1021" spans="1:5">
      <c r="A1021" t="s">
        <v>110</v>
      </c>
      <c r="B1021" t="s">
        <v>94</v>
      </c>
      <c r="C1021" s="5">
        <v>45484</v>
      </c>
      <c r="D1021">
        <v>46</v>
      </c>
      <c r="E1021">
        <f>WEEKNUM(Append321[[#This Row],[Date]])</f>
        <v>28</v>
      </c>
    </row>
    <row r="1022" spans="1:5">
      <c r="A1022" t="s">
        <v>110</v>
      </c>
      <c r="B1022" t="s">
        <v>94</v>
      </c>
      <c r="C1022" s="5">
        <v>45485</v>
      </c>
      <c r="D1022">
        <v>65</v>
      </c>
      <c r="E1022">
        <f>WEEKNUM(Append321[[#This Row],[Date]])</f>
        <v>28</v>
      </c>
    </row>
    <row r="1023" spans="1:5">
      <c r="A1023" t="s">
        <v>110</v>
      </c>
      <c r="B1023" t="s">
        <v>94</v>
      </c>
      <c r="C1023" s="5">
        <v>45486</v>
      </c>
      <c r="D1023">
        <v>76</v>
      </c>
      <c r="E1023">
        <f>WEEKNUM(Append321[[#This Row],[Date]])</f>
        <v>28</v>
      </c>
    </row>
    <row r="1024" spans="1:5">
      <c r="A1024" t="s">
        <v>110</v>
      </c>
      <c r="B1024" t="s">
        <v>94</v>
      </c>
      <c r="C1024" s="5">
        <v>45487</v>
      </c>
      <c r="D1024">
        <v>67</v>
      </c>
      <c r="E1024">
        <f>WEEKNUM(Append321[[#This Row],[Date]])</f>
        <v>29</v>
      </c>
    </row>
    <row r="1025" spans="1:5">
      <c r="A1025" t="s">
        <v>110</v>
      </c>
      <c r="B1025" t="s">
        <v>94</v>
      </c>
      <c r="C1025" s="5">
        <v>45488</v>
      </c>
      <c r="D1025">
        <v>58</v>
      </c>
      <c r="E1025">
        <f>WEEKNUM(Append321[[#This Row],[Date]])</f>
        <v>29</v>
      </c>
    </row>
    <row r="1026" spans="1:5">
      <c r="A1026" t="s">
        <v>110</v>
      </c>
      <c r="B1026" t="s">
        <v>94</v>
      </c>
      <c r="C1026" s="5">
        <v>45489</v>
      </c>
      <c r="D1026">
        <v>77</v>
      </c>
      <c r="E1026">
        <f>WEEKNUM(Append321[[#This Row],[Date]])</f>
        <v>29</v>
      </c>
    </row>
    <row r="1027" spans="1:5">
      <c r="A1027" t="s">
        <v>110</v>
      </c>
      <c r="B1027" t="s">
        <v>94</v>
      </c>
      <c r="C1027" s="5">
        <v>45490</v>
      </c>
      <c r="D1027">
        <v>64</v>
      </c>
      <c r="E1027">
        <f>WEEKNUM(Append321[[#This Row],[Date]])</f>
        <v>29</v>
      </c>
    </row>
    <row r="1028" spans="1:5">
      <c r="A1028" t="s">
        <v>110</v>
      </c>
      <c r="B1028" t="s">
        <v>94</v>
      </c>
      <c r="C1028" s="5">
        <v>45491</v>
      </c>
      <c r="D1028">
        <v>82</v>
      </c>
      <c r="E1028">
        <f>WEEKNUM(Append321[[#This Row],[Date]])</f>
        <v>29</v>
      </c>
    </row>
    <row r="1029" spans="1:5">
      <c r="A1029" t="s">
        <v>110</v>
      </c>
      <c r="B1029" t="s">
        <v>94</v>
      </c>
      <c r="C1029" s="5">
        <v>45492</v>
      </c>
      <c r="D1029">
        <v>75</v>
      </c>
      <c r="E1029">
        <f>WEEKNUM(Append321[[#This Row],[Date]])</f>
        <v>29</v>
      </c>
    </row>
    <row r="1030" spans="1:5">
      <c r="A1030" t="s">
        <v>110</v>
      </c>
      <c r="B1030" t="s">
        <v>94</v>
      </c>
      <c r="C1030" s="5">
        <v>45493</v>
      </c>
      <c r="D1030">
        <v>102</v>
      </c>
      <c r="E1030">
        <f>WEEKNUM(Append321[[#This Row],[Date]])</f>
        <v>29</v>
      </c>
    </row>
    <row r="1031" spans="1:5">
      <c r="A1031" t="s">
        <v>110</v>
      </c>
      <c r="B1031" t="s">
        <v>94</v>
      </c>
      <c r="C1031" s="5">
        <v>45494</v>
      </c>
      <c r="D1031">
        <v>81</v>
      </c>
      <c r="E1031">
        <f>WEEKNUM(Append321[[#This Row],[Date]])</f>
        <v>30</v>
      </c>
    </row>
    <row r="1032" spans="1:5">
      <c r="A1032" t="s">
        <v>110</v>
      </c>
      <c r="B1032" t="s">
        <v>94</v>
      </c>
      <c r="C1032" s="5">
        <v>45495</v>
      </c>
      <c r="D1032">
        <v>75</v>
      </c>
      <c r="E1032">
        <f>WEEKNUM(Append321[[#This Row],[Date]])</f>
        <v>30</v>
      </c>
    </row>
    <row r="1033" spans="1:5">
      <c r="A1033" t="s">
        <v>110</v>
      </c>
      <c r="B1033" t="s">
        <v>94</v>
      </c>
      <c r="C1033" s="5">
        <v>45496</v>
      </c>
      <c r="D1033">
        <v>87</v>
      </c>
      <c r="E1033">
        <f>WEEKNUM(Append321[[#This Row],[Date]])</f>
        <v>30</v>
      </c>
    </row>
    <row r="1034" spans="1:5">
      <c r="A1034" t="s">
        <v>110</v>
      </c>
      <c r="B1034" t="s">
        <v>94</v>
      </c>
      <c r="C1034" s="5">
        <v>45497</v>
      </c>
      <c r="D1034">
        <v>82</v>
      </c>
      <c r="E1034">
        <f>WEEKNUM(Append321[[#This Row],[Date]])</f>
        <v>30</v>
      </c>
    </row>
    <row r="1035" spans="1:5">
      <c r="A1035" t="s">
        <v>110</v>
      </c>
      <c r="B1035" t="s">
        <v>94</v>
      </c>
      <c r="C1035" s="5">
        <v>45498</v>
      </c>
      <c r="D1035">
        <v>70</v>
      </c>
      <c r="E1035">
        <f>WEEKNUM(Append321[[#This Row],[Date]])</f>
        <v>30</v>
      </c>
    </row>
    <row r="1036" spans="1:5">
      <c r="A1036" t="s">
        <v>110</v>
      </c>
      <c r="B1036" t="s">
        <v>94</v>
      </c>
      <c r="C1036" s="5">
        <v>45499</v>
      </c>
      <c r="D1036">
        <v>119</v>
      </c>
      <c r="E1036">
        <f>WEEKNUM(Append321[[#This Row],[Date]])</f>
        <v>30</v>
      </c>
    </row>
    <row r="1037" spans="1:5">
      <c r="A1037" t="s">
        <v>110</v>
      </c>
      <c r="B1037" t="s">
        <v>94</v>
      </c>
      <c r="C1037" s="5">
        <v>45500</v>
      </c>
      <c r="D1037">
        <v>89</v>
      </c>
      <c r="E1037">
        <f>WEEKNUM(Append321[[#This Row],[Date]])</f>
        <v>30</v>
      </c>
    </row>
    <row r="1038" spans="1:5">
      <c r="A1038" t="s">
        <v>110</v>
      </c>
      <c r="B1038" t="s">
        <v>94</v>
      </c>
      <c r="C1038" s="5">
        <v>45501</v>
      </c>
      <c r="D1038">
        <v>84</v>
      </c>
      <c r="E1038">
        <f>WEEKNUM(Append321[[#This Row],[Date]])</f>
        <v>31</v>
      </c>
    </row>
    <row r="1039" spans="1:5">
      <c r="A1039" t="s">
        <v>110</v>
      </c>
      <c r="B1039" t="s">
        <v>94</v>
      </c>
      <c r="C1039" s="5">
        <v>45502</v>
      </c>
      <c r="D1039">
        <v>91</v>
      </c>
      <c r="E1039">
        <f>WEEKNUM(Append321[[#This Row],[Date]])</f>
        <v>31</v>
      </c>
    </row>
    <row r="1040" spans="1:5">
      <c r="A1040" t="s">
        <v>110</v>
      </c>
      <c r="B1040" t="s">
        <v>94</v>
      </c>
      <c r="C1040" s="5">
        <v>45503</v>
      </c>
      <c r="D1040">
        <v>115</v>
      </c>
      <c r="E1040">
        <f>WEEKNUM(Append321[[#This Row],[Date]])</f>
        <v>31</v>
      </c>
    </row>
    <row r="1041" spans="1:5">
      <c r="A1041" t="s">
        <v>110</v>
      </c>
      <c r="B1041" t="s">
        <v>94</v>
      </c>
      <c r="C1041" s="5">
        <v>45504</v>
      </c>
      <c r="D1041">
        <v>96</v>
      </c>
      <c r="E1041">
        <f>WEEKNUM(Append321[[#This Row],[Date]])</f>
        <v>31</v>
      </c>
    </row>
    <row r="1042" spans="1:5">
      <c r="A1042" t="s">
        <v>110</v>
      </c>
      <c r="B1042" t="s">
        <v>94</v>
      </c>
      <c r="C1042" s="5">
        <v>45505</v>
      </c>
      <c r="D1042">
        <v>100</v>
      </c>
      <c r="E1042">
        <f>WEEKNUM(Append321[[#This Row],[Date]])</f>
        <v>31</v>
      </c>
    </row>
    <row r="1043" spans="1:5">
      <c r="A1043" t="s">
        <v>110</v>
      </c>
      <c r="B1043" t="s">
        <v>94</v>
      </c>
      <c r="C1043" s="5">
        <v>45506</v>
      </c>
      <c r="D1043">
        <v>91</v>
      </c>
      <c r="E1043">
        <f>WEEKNUM(Append321[[#This Row],[Date]])</f>
        <v>31</v>
      </c>
    </row>
    <row r="1044" spans="1:5">
      <c r="A1044" t="s">
        <v>110</v>
      </c>
      <c r="B1044" t="s">
        <v>94</v>
      </c>
      <c r="C1044" s="5">
        <v>45507</v>
      </c>
      <c r="D1044">
        <v>80</v>
      </c>
      <c r="E1044">
        <f>WEEKNUM(Append321[[#This Row],[Date]])</f>
        <v>31</v>
      </c>
    </row>
    <row r="1045" spans="1:5">
      <c r="A1045" t="s">
        <v>110</v>
      </c>
      <c r="B1045" t="s">
        <v>94</v>
      </c>
      <c r="C1045" s="5">
        <v>45508</v>
      </c>
      <c r="D1045">
        <v>89</v>
      </c>
      <c r="E1045">
        <f>WEEKNUM(Append321[[#This Row],[Date]])</f>
        <v>32</v>
      </c>
    </row>
    <row r="1046" spans="1:5">
      <c r="A1046" t="s">
        <v>110</v>
      </c>
      <c r="B1046" t="s">
        <v>94</v>
      </c>
      <c r="C1046" s="5">
        <v>45509</v>
      </c>
      <c r="D1046">
        <v>117</v>
      </c>
      <c r="E1046">
        <f>WEEKNUM(Append321[[#This Row],[Date]])</f>
        <v>32</v>
      </c>
    </row>
    <row r="1047" spans="1:5">
      <c r="A1047" t="s">
        <v>110</v>
      </c>
      <c r="B1047" t="s">
        <v>94</v>
      </c>
      <c r="C1047" s="5">
        <v>45510</v>
      </c>
      <c r="D1047">
        <v>85</v>
      </c>
      <c r="E1047">
        <f>WEEKNUM(Append321[[#This Row],[Date]])</f>
        <v>32</v>
      </c>
    </row>
    <row r="1048" spans="1:5">
      <c r="A1048" t="s">
        <v>110</v>
      </c>
      <c r="B1048" t="s">
        <v>94</v>
      </c>
      <c r="C1048" s="5">
        <v>45511</v>
      </c>
      <c r="D1048">
        <v>85</v>
      </c>
      <c r="E1048">
        <f>WEEKNUM(Append321[[#This Row],[Date]])</f>
        <v>32</v>
      </c>
    </row>
    <row r="1049" spans="1:5">
      <c r="A1049" t="s">
        <v>110</v>
      </c>
      <c r="B1049" t="s">
        <v>94</v>
      </c>
      <c r="C1049" s="5">
        <v>45512</v>
      </c>
      <c r="D1049">
        <v>77</v>
      </c>
      <c r="E1049">
        <f>WEEKNUM(Append321[[#This Row],[Date]])</f>
        <v>32</v>
      </c>
    </row>
    <row r="1050" spans="1:5">
      <c r="A1050" t="s">
        <v>110</v>
      </c>
      <c r="B1050" t="s">
        <v>94</v>
      </c>
      <c r="C1050" s="5">
        <v>45513</v>
      </c>
      <c r="D1050">
        <v>71</v>
      </c>
      <c r="E1050">
        <f>WEEKNUM(Append321[[#This Row],[Date]])</f>
        <v>32</v>
      </c>
    </row>
    <row r="1051" spans="1:5">
      <c r="A1051" t="s">
        <v>110</v>
      </c>
      <c r="B1051" t="s">
        <v>94</v>
      </c>
      <c r="C1051" s="5">
        <v>45514</v>
      </c>
      <c r="D1051">
        <v>81</v>
      </c>
      <c r="E1051">
        <f>WEEKNUM(Append321[[#This Row],[Date]])</f>
        <v>32</v>
      </c>
    </row>
    <row r="1052" spans="1:5">
      <c r="A1052" t="s">
        <v>110</v>
      </c>
      <c r="B1052" t="s">
        <v>94</v>
      </c>
      <c r="C1052" s="5">
        <v>45515</v>
      </c>
      <c r="D1052">
        <v>90</v>
      </c>
      <c r="E1052">
        <f>WEEKNUM(Append321[[#This Row],[Date]])</f>
        <v>33</v>
      </c>
    </row>
    <row r="1053" spans="1:5">
      <c r="A1053" t="s">
        <v>110</v>
      </c>
      <c r="B1053" t="s">
        <v>94</v>
      </c>
      <c r="C1053" s="5">
        <v>45516</v>
      </c>
      <c r="D1053">
        <v>86</v>
      </c>
      <c r="E1053">
        <f>WEEKNUM(Append321[[#This Row],[Date]])</f>
        <v>33</v>
      </c>
    </row>
    <row r="1054" spans="1:5">
      <c r="A1054" t="s">
        <v>110</v>
      </c>
      <c r="B1054" t="s">
        <v>94</v>
      </c>
      <c r="C1054" s="5">
        <v>45517</v>
      </c>
      <c r="D1054">
        <v>68</v>
      </c>
      <c r="E1054">
        <f>WEEKNUM(Append321[[#This Row],[Date]])</f>
        <v>33</v>
      </c>
    </row>
    <row r="1055" spans="1:5">
      <c r="A1055" t="s">
        <v>110</v>
      </c>
      <c r="B1055" t="s">
        <v>94</v>
      </c>
      <c r="C1055" s="5">
        <v>45518</v>
      </c>
      <c r="D1055">
        <v>74</v>
      </c>
      <c r="E1055">
        <f>WEEKNUM(Append321[[#This Row],[Date]])</f>
        <v>33</v>
      </c>
    </row>
    <row r="1056" spans="1:5">
      <c r="A1056" t="s">
        <v>110</v>
      </c>
      <c r="B1056" t="s">
        <v>94</v>
      </c>
      <c r="C1056" s="5">
        <v>45519</v>
      </c>
      <c r="D1056">
        <v>81</v>
      </c>
      <c r="E1056">
        <f>WEEKNUM(Append321[[#This Row],[Date]])</f>
        <v>33</v>
      </c>
    </row>
    <row r="1057" spans="1:5">
      <c r="A1057" t="s">
        <v>110</v>
      </c>
      <c r="B1057" t="s">
        <v>94</v>
      </c>
      <c r="C1057" s="5">
        <v>45520</v>
      </c>
      <c r="D1057">
        <v>112</v>
      </c>
      <c r="E1057">
        <f>WEEKNUM(Append321[[#This Row],[Date]])</f>
        <v>33</v>
      </c>
    </row>
    <row r="1058" spans="1:5">
      <c r="A1058" t="s">
        <v>110</v>
      </c>
      <c r="B1058" t="s">
        <v>94</v>
      </c>
      <c r="C1058" s="5">
        <v>45521</v>
      </c>
      <c r="D1058">
        <v>91</v>
      </c>
      <c r="E1058">
        <f>WEEKNUM(Append321[[#This Row],[Date]])</f>
        <v>33</v>
      </c>
    </row>
    <row r="1059" spans="1:5">
      <c r="A1059" t="s">
        <v>110</v>
      </c>
      <c r="B1059" t="s">
        <v>94</v>
      </c>
      <c r="C1059" s="5">
        <v>45522</v>
      </c>
      <c r="D1059">
        <v>88</v>
      </c>
      <c r="E1059">
        <f>WEEKNUM(Append321[[#This Row],[Date]])</f>
        <v>34</v>
      </c>
    </row>
    <row r="1060" spans="1:5">
      <c r="A1060" t="s">
        <v>110</v>
      </c>
      <c r="B1060" t="s">
        <v>94</v>
      </c>
      <c r="C1060" s="5">
        <v>45523</v>
      </c>
      <c r="D1060">
        <v>101</v>
      </c>
      <c r="E1060">
        <f>WEEKNUM(Append321[[#This Row],[Date]])</f>
        <v>34</v>
      </c>
    </row>
    <row r="1061" spans="1:5">
      <c r="A1061" t="s">
        <v>110</v>
      </c>
      <c r="B1061" t="s">
        <v>94</v>
      </c>
      <c r="C1061" s="5">
        <v>45524</v>
      </c>
      <c r="D1061">
        <v>83</v>
      </c>
      <c r="E1061">
        <f>WEEKNUM(Append321[[#This Row],[Date]])</f>
        <v>34</v>
      </c>
    </row>
    <row r="1062" spans="1:5">
      <c r="A1062" t="s">
        <v>110</v>
      </c>
      <c r="B1062" t="s">
        <v>94</v>
      </c>
      <c r="C1062" s="5">
        <v>45525</v>
      </c>
      <c r="D1062">
        <v>91</v>
      </c>
      <c r="E1062">
        <f>WEEKNUM(Append321[[#This Row],[Date]])</f>
        <v>34</v>
      </c>
    </row>
    <row r="1063" spans="1:5">
      <c r="A1063" t="s">
        <v>110</v>
      </c>
      <c r="B1063" t="s">
        <v>94</v>
      </c>
      <c r="C1063" s="5">
        <v>45526</v>
      </c>
      <c r="D1063">
        <v>101</v>
      </c>
      <c r="E1063">
        <f>WEEKNUM(Append321[[#This Row],[Date]])</f>
        <v>34</v>
      </c>
    </row>
    <row r="1064" spans="1:5">
      <c r="A1064" t="s">
        <v>110</v>
      </c>
      <c r="B1064" t="s">
        <v>94</v>
      </c>
      <c r="C1064" s="5">
        <v>45527</v>
      </c>
      <c r="D1064">
        <v>72</v>
      </c>
      <c r="E1064">
        <f>WEEKNUM(Append321[[#This Row],[Date]])</f>
        <v>34</v>
      </c>
    </row>
    <row r="1065" spans="1:5">
      <c r="A1065" t="s">
        <v>110</v>
      </c>
      <c r="B1065" t="s">
        <v>94</v>
      </c>
      <c r="C1065" s="5">
        <v>45528</v>
      </c>
      <c r="D1065">
        <v>80</v>
      </c>
      <c r="E1065">
        <f>WEEKNUM(Append321[[#This Row],[Date]])</f>
        <v>34</v>
      </c>
    </row>
    <row r="1066" spans="1:5">
      <c r="A1066" t="s">
        <v>110</v>
      </c>
      <c r="B1066" t="s">
        <v>94</v>
      </c>
      <c r="C1066" s="5">
        <v>45529</v>
      </c>
      <c r="D1066">
        <v>87</v>
      </c>
      <c r="E1066">
        <f>WEEKNUM(Append321[[#This Row],[Date]])</f>
        <v>35</v>
      </c>
    </row>
    <row r="1067" spans="1:5">
      <c r="A1067" t="s">
        <v>110</v>
      </c>
      <c r="B1067" t="s">
        <v>94</v>
      </c>
      <c r="C1067" s="5">
        <v>45530</v>
      </c>
      <c r="D1067">
        <v>102</v>
      </c>
      <c r="E1067">
        <f>WEEKNUM(Append321[[#This Row],[Date]])</f>
        <v>35</v>
      </c>
    </row>
    <row r="1068" spans="1:5">
      <c r="A1068" t="s">
        <v>110</v>
      </c>
      <c r="B1068" t="s">
        <v>94</v>
      </c>
      <c r="C1068" s="5">
        <v>45531</v>
      </c>
      <c r="D1068">
        <v>88</v>
      </c>
      <c r="E1068">
        <f>WEEKNUM(Append321[[#This Row],[Date]])</f>
        <v>35</v>
      </c>
    </row>
    <row r="1069" spans="1:5">
      <c r="A1069" t="s">
        <v>110</v>
      </c>
      <c r="B1069" t="s">
        <v>94</v>
      </c>
      <c r="C1069" s="5">
        <v>45532</v>
      </c>
      <c r="D1069">
        <v>97</v>
      </c>
      <c r="E1069">
        <f>WEEKNUM(Append321[[#This Row],[Date]])</f>
        <v>35</v>
      </c>
    </row>
    <row r="1070" spans="1:5">
      <c r="A1070" t="s">
        <v>110</v>
      </c>
      <c r="B1070" t="s">
        <v>94</v>
      </c>
      <c r="C1070" s="5">
        <v>45533</v>
      </c>
      <c r="D1070">
        <v>102</v>
      </c>
      <c r="E1070">
        <f>WEEKNUM(Append321[[#This Row],[Date]])</f>
        <v>35</v>
      </c>
    </row>
    <row r="1071" spans="1:5">
      <c r="A1071" t="s">
        <v>110</v>
      </c>
      <c r="B1071" t="s">
        <v>94</v>
      </c>
      <c r="C1071" s="5">
        <v>45534</v>
      </c>
      <c r="D1071">
        <v>108</v>
      </c>
      <c r="E1071">
        <f>WEEKNUM(Append321[[#This Row],[Date]])</f>
        <v>35</v>
      </c>
    </row>
    <row r="1072" spans="1:5">
      <c r="A1072" t="s">
        <v>110</v>
      </c>
      <c r="B1072" t="s">
        <v>94</v>
      </c>
      <c r="C1072" s="5">
        <v>45535</v>
      </c>
      <c r="D1072">
        <v>113</v>
      </c>
      <c r="E1072">
        <f>WEEKNUM(Append321[[#This Row],[Date]])</f>
        <v>35</v>
      </c>
    </row>
    <row r="1073" spans="1:5">
      <c r="A1073" t="s">
        <v>110</v>
      </c>
      <c r="B1073" t="s">
        <v>95</v>
      </c>
      <c r="C1073" s="5">
        <v>45444</v>
      </c>
      <c r="D1073">
        <v>127</v>
      </c>
      <c r="E1073">
        <f>WEEKNUM(Append321[[#This Row],[Date]])</f>
        <v>22</v>
      </c>
    </row>
    <row r="1074" spans="1:5">
      <c r="A1074" t="s">
        <v>110</v>
      </c>
      <c r="B1074" t="s">
        <v>95</v>
      </c>
      <c r="C1074" s="5">
        <v>45445</v>
      </c>
      <c r="D1074">
        <v>103</v>
      </c>
      <c r="E1074">
        <f>WEEKNUM(Append321[[#This Row],[Date]])</f>
        <v>23</v>
      </c>
    </row>
    <row r="1075" spans="1:5">
      <c r="A1075" t="s">
        <v>110</v>
      </c>
      <c r="B1075" t="s">
        <v>95</v>
      </c>
      <c r="C1075" s="5">
        <v>45446</v>
      </c>
      <c r="D1075">
        <v>118</v>
      </c>
      <c r="E1075">
        <f>WEEKNUM(Append321[[#This Row],[Date]])</f>
        <v>23</v>
      </c>
    </row>
    <row r="1076" spans="1:5">
      <c r="A1076" t="s">
        <v>110</v>
      </c>
      <c r="B1076" t="s">
        <v>95</v>
      </c>
      <c r="C1076" s="5">
        <v>45447</v>
      </c>
      <c r="D1076">
        <v>117</v>
      </c>
      <c r="E1076">
        <f>WEEKNUM(Append321[[#This Row],[Date]])</f>
        <v>23</v>
      </c>
    </row>
    <row r="1077" spans="1:5">
      <c r="A1077" t="s">
        <v>110</v>
      </c>
      <c r="B1077" t="s">
        <v>95</v>
      </c>
      <c r="C1077" s="5">
        <v>45448</v>
      </c>
      <c r="D1077">
        <v>127</v>
      </c>
      <c r="E1077">
        <f>WEEKNUM(Append321[[#This Row],[Date]])</f>
        <v>23</v>
      </c>
    </row>
    <row r="1078" spans="1:5">
      <c r="A1078" t="s">
        <v>110</v>
      </c>
      <c r="B1078" t="s">
        <v>95</v>
      </c>
      <c r="C1078" s="5">
        <v>45449</v>
      </c>
      <c r="D1078">
        <v>106</v>
      </c>
      <c r="E1078">
        <f>WEEKNUM(Append321[[#This Row],[Date]])</f>
        <v>23</v>
      </c>
    </row>
    <row r="1079" spans="1:5">
      <c r="A1079" t="s">
        <v>110</v>
      </c>
      <c r="B1079" t="s">
        <v>95</v>
      </c>
      <c r="C1079" s="5">
        <v>45450</v>
      </c>
      <c r="D1079">
        <v>122</v>
      </c>
      <c r="E1079">
        <f>WEEKNUM(Append321[[#This Row],[Date]])</f>
        <v>23</v>
      </c>
    </row>
    <row r="1080" spans="1:5">
      <c r="A1080" t="s">
        <v>110</v>
      </c>
      <c r="B1080" t="s">
        <v>95</v>
      </c>
      <c r="C1080" s="5">
        <v>45451</v>
      </c>
      <c r="D1080">
        <v>96</v>
      </c>
      <c r="E1080">
        <f>WEEKNUM(Append321[[#This Row],[Date]])</f>
        <v>23</v>
      </c>
    </row>
    <row r="1081" spans="1:5">
      <c r="A1081" t="s">
        <v>110</v>
      </c>
      <c r="B1081" t="s">
        <v>95</v>
      </c>
      <c r="C1081" s="5">
        <v>45452</v>
      </c>
      <c r="D1081">
        <v>122</v>
      </c>
      <c r="E1081">
        <f>WEEKNUM(Append321[[#This Row],[Date]])</f>
        <v>24</v>
      </c>
    </row>
    <row r="1082" spans="1:5">
      <c r="A1082" t="s">
        <v>110</v>
      </c>
      <c r="B1082" t="s">
        <v>95</v>
      </c>
      <c r="C1082" s="5">
        <v>45453</v>
      </c>
      <c r="D1082">
        <v>97</v>
      </c>
      <c r="E1082">
        <f>WEEKNUM(Append321[[#This Row],[Date]])</f>
        <v>24</v>
      </c>
    </row>
    <row r="1083" spans="1:5">
      <c r="A1083" t="s">
        <v>110</v>
      </c>
      <c r="B1083" t="s">
        <v>95</v>
      </c>
      <c r="C1083" s="5">
        <v>45454</v>
      </c>
      <c r="D1083">
        <v>111</v>
      </c>
      <c r="E1083">
        <f>WEEKNUM(Append321[[#This Row],[Date]])</f>
        <v>24</v>
      </c>
    </row>
    <row r="1084" spans="1:5">
      <c r="A1084" t="s">
        <v>110</v>
      </c>
      <c r="B1084" t="s">
        <v>95</v>
      </c>
      <c r="C1084" s="5">
        <v>45455</v>
      </c>
      <c r="D1084">
        <v>119</v>
      </c>
      <c r="E1084">
        <f>WEEKNUM(Append321[[#This Row],[Date]])</f>
        <v>24</v>
      </c>
    </row>
    <row r="1085" spans="1:5">
      <c r="A1085" t="s">
        <v>110</v>
      </c>
      <c r="B1085" t="s">
        <v>95</v>
      </c>
      <c r="C1085" s="5">
        <v>45456</v>
      </c>
      <c r="D1085">
        <v>130</v>
      </c>
      <c r="E1085">
        <f>WEEKNUM(Append321[[#This Row],[Date]])</f>
        <v>24</v>
      </c>
    </row>
    <row r="1086" spans="1:5">
      <c r="A1086" t="s">
        <v>110</v>
      </c>
      <c r="B1086" t="s">
        <v>95</v>
      </c>
      <c r="C1086" s="5">
        <v>45457</v>
      </c>
      <c r="D1086">
        <v>184</v>
      </c>
      <c r="E1086">
        <f>WEEKNUM(Append321[[#This Row],[Date]])</f>
        <v>24</v>
      </c>
    </row>
    <row r="1087" spans="1:5">
      <c r="A1087" t="s">
        <v>110</v>
      </c>
      <c r="B1087" t="s">
        <v>95</v>
      </c>
      <c r="C1087" s="5">
        <v>45458</v>
      </c>
      <c r="D1087">
        <v>169</v>
      </c>
      <c r="E1087">
        <f>WEEKNUM(Append321[[#This Row],[Date]])</f>
        <v>24</v>
      </c>
    </row>
    <row r="1088" spans="1:5">
      <c r="A1088" t="s">
        <v>110</v>
      </c>
      <c r="B1088" t="s">
        <v>95</v>
      </c>
      <c r="C1088" s="5">
        <v>45459</v>
      </c>
      <c r="D1088">
        <v>170</v>
      </c>
      <c r="E1088">
        <f>WEEKNUM(Append321[[#This Row],[Date]])</f>
        <v>25</v>
      </c>
    </row>
    <row r="1089" spans="1:5">
      <c r="A1089" t="s">
        <v>110</v>
      </c>
      <c r="B1089" t="s">
        <v>95</v>
      </c>
      <c r="C1089" s="5">
        <v>45460</v>
      </c>
      <c r="D1089">
        <v>154</v>
      </c>
      <c r="E1089">
        <f>WEEKNUM(Append321[[#This Row],[Date]])</f>
        <v>25</v>
      </c>
    </row>
    <row r="1090" spans="1:5">
      <c r="A1090" t="s">
        <v>110</v>
      </c>
      <c r="B1090" t="s">
        <v>95</v>
      </c>
      <c r="C1090" s="5">
        <v>45461</v>
      </c>
      <c r="D1090">
        <v>147</v>
      </c>
      <c r="E1090">
        <f>WEEKNUM(Append321[[#This Row],[Date]])</f>
        <v>25</v>
      </c>
    </row>
    <row r="1091" spans="1:5">
      <c r="A1091" t="s">
        <v>110</v>
      </c>
      <c r="B1091" t="s">
        <v>95</v>
      </c>
      <c r="C1091" s="5">
        <v>45462</v>
      </c>
      <c r="D1091">
        <v>114</v>
      </c>
      <c r="E1091">
        <f>WEEKNUM(Append321[[#This Row],[Date]])</f>
        <v>25</v>
      </c>
    </row>
    <row r="1092" spans="1:5">
      <c r="A1092" t="s">
        <v>110</v>
      </c>
      <c r="B1092" t="s">
        <v>95</v>
      </c>
      <c r="C1092" s="5">
        <v>45463</v>
      </c>
      <c r="D1092">
        <v>110</v>
      </c>
      <c r="E1092">
        <f>WEEKNUM(Append321[[#This Row],[Date]])</f>
        <v>25</v>
      </c>
    </row>
    <row r="1093" spans="1:5">
      <c r="A1093" t="s">
        <v>110</v>
      </c>
      <c r="B1093" t="s">
        <v>95</v>
      </c>
      <c r="C1093" s="5">
        <v>45464</v>
      </c>
      <c r="D1093">
        <v>117</v>
      </c>
      <c r="E1093">
        <f>WEEKNUM(Append321[[#This Row],[Date]])</f>
        <v>25</v>
      </c>
    </row>
    <row r="1094" spans="1:5">
      <c r="A1094" t="s">
        <v>110</v>
      </c>
      <c r="B1094" t="s">
        <v>95</v>
      </c>
      <c r="C1094" s="5">
        <v>45465</v>
      </c>
      <c r="D1094">
        <v>110</v>
      </c>
      <c r="E1094">
        <f>WEEKNUM(Append321[[#This Row],[Date]])</f>
        <v>25</v>
      </c>
    </row>
    <row r="1095" spans="1:5">
      <c r="A1095" t="s">
        <v>110</v>
      </c>
      <c r="B1095" t="s">
        <v>95</v>
      </c>
      <c r="C1095" s="5">
        <v>45466</v>
      </c>
      <c r="D1095">
        <v>85</v>
      </c>
      <c r="E1095">
        <f>WEEKNUM(Append321[[#This Row],[Date]])</f>
        <v>26</v>
      </c>
    </row>
    <row r="1096" spans="1:5">
      <c r="A1096" t="s">
        <v>110</v>
      </c>
      <c r="B1096" t="s">
        <v>95</v>
      </c>
      <c r="C1096" s="5">
        <v>45467</v>
      </c>
      <c r="D1096">
        <v>103</v>
      </c>
      <c r="E1096">
        <f>WEEKNUM(Append321[[#This Row],[Date]])</f>
        <v>26</v>
      </c>
    </row>
    <row r="1097" spans="1:5">
      <c r="A1097" t="s">
        <v>110</v>
      </c>
      <c r="B1097" t="s">
        <v>95</v>
      </c>
      <c r="C1097" s="5">
        <v>45468</v>
      </c>
      <c r="D1097">
        <v>99</v>
      </c>
      <c r="E1097">
        <f>WEEKNUM(Append321[[#This Row],[Date]])</f>
        <v>26</v>
      </c>
    </row>
    <row r="1098" spans="1:5">
      <c r="A1098" t="s">
        <v>110</v>
      </c>
      <c r="B1098" t="s">
        <v>95</v>
      </c>
      <c r="C1098" s="5">
        <v>45469</v>
      </c>
      <c r="D1098">
        <v>116</v>
      </c>
      <c r="E1098">
        <f>WEEKNUM(Append321[[#This Row],[Date]])</f>
        <v>26</v>
      </c>
    </row>
    <row r="1099" spans="1:5">
      <c r="A1099" t="s">
        <v>110</v>
      </c>
      <c r="B1099" t="s">
        <v>95</v>
      </c>
      <c r="C1099" s="5">
        <v>45470</v>
      </c>
      <c r="D1099">
        <v>107</v>
      </c>
      <c r="E1099">
        <f>WEEKNUM(Append321[[#This Row],[Date]])</f>
        <v>26</v>
      </c>
    </row>
    <row r="1100" spans="1:5">
      <c r="A1100" t="s">
        <v>110</v>
      </c>
      <c r="B1100" t="s">
        <v>95</v>
      </c>
      <c r="C1100" s="5">
        <v>45471</v>
      </c>
      <c r="D1100">
        <v>100</v>
      </c>
      <c r="E1100">
        <f>WEEKNUM(Append321[[#This Row],[Date]])</f>
        <v>26</v>
      </c>
    </row>
    <row r="1101" spans="1:5">
      <c r="A1101" t="s">
        <v>110</v>
      </c>
      <c r="B1101" t="s">
        <v>95</v>
      </c>
      <c r="C1101" s="5">
        <v>45472</v>
      </c>
      <c r="D1101">
        <v>112</v>
      </c>
      <c r="E1101">
        <f>WEEKNUM(Append321[[#This Row],[Date]])</f>
        <v>26</v>
      </c>
    </row>
    <row r="1102" spans="1:5">
      <c r="A1102" t="s">
        <v>110</v>
      </c>
      <c r="B1102" t="s">
        <v>95</v>
      </c>
      <c r="C1102" s="5">
        <v>45473</v>
      </c>
      <c r="D1102">
        <v>145</v>
      </c>
      <c r="E1102">
        <f>WEEKNUM(Append321[[#This Row],[Date]])</f>
        <v>27</v>
      </c>
    </row>
    <row r="1103" spans="1:5">
      <c r="A1103" t="s">
        <v>110</v>
      </c>
      <c r="B1103" t="s">
        <v>95</v>
      </c>
      <c r="C1103" s="5">
        <v>45474</v>
      </c>
      <c r="D1103">
        <v>141</v>
      </c>
      <c r="E1103">
        <f>WEEKNUM(Append321[[#This Row],[Date]])</f>
        <v>27</v>
      </c>
    </row>
    <row r="1104" spans="1:5">
      <c r="A1104" t="s">
        <v>110</v>
      </c>
      <c r="B1104" t="s">
        <v>95</v>
      </c>
      <c r="C1104" s="5">
        <v>45475</v>
      </c>
      <c r="D1104">
        <v>206</v>
      </c>
      <c r="E1104">
        <f>WEEKNUM(Append321[[#This Row],[Date]])</f>
        <v>27</v>
      </c>
    </row>
    <row r="1105" spans="1:5">
      <c r="A1105" t="s">
        <v>110</v>
      </c>
      <c r="B1105" t="s">
        <v>95</v>
      </c>
      <c r="C1105" s="5">
        <v>45476</v>
      </c>
      <c r="D1105">
        <v>176</v>
      </c>
      <c r="E1105">
        <f>WEEKNUM(Append321[[#This Row],[Date]])</f>
        <v>27</v>
      </c>
    </row>
    <row r="1106" spans="1:5">
      <c r="A1106" t="s">
        <v>110</v>
      </c>
      <c r="B1106" t="s">
        <v>95</v>
      </c>
      <c r="C1106" s="5">
        <v>45477</v>
      </c>
      <c r="D1106">
        <v>175</v>
      </c>
      <c r="E1106">
        <f>WEEKNUM(Append321[[#This Row],[Date]])</f>
        <v>27</v>
      </c>
    </row>
    <row r="1107" spans="1:5">
      <c r="A1107" t="s">
        <v>110</v>
      </c>
      <c r="B1107" t="s">
        <v>95</v>
      </c>
      <c r="C1107" s="5">
        <v>45478</v>
      </c>
      <c r="D1107">
        <v>170</v>
      </c>
      <c r="E1107">
        <f>WEEKNUM(Append321[[#This Row],[Date]])</f>
        <v>27</v>
      </c>
    </row>
    <row r="1108" spans="1:5">
      <c r="A1108" t="s">
        <v>110</v>
      </c>
      <c r="B1108" t="s">
        <v>95</v>
      </c>
      <c r="C1108" s="5">
        <v>45479</v>
      </c>
      <c r="D1108">
        <v>193</v>
      </c>
      <c r="E1108">
        <f>WEEKNUM(Append321[[#This Row],[Date]])</f>
        <v>27</v>
      </c>
    </row>
    <row r="1109" spans="1:5">
      <c r="A1109" t="s">
        <v>110</v>
      </c>
      <c r="B1109" t="s">
        <v>95</v>
      </c>
      <c r="C1109" s="5">
        <v>45480</v>
      </c>
      <c r="D1109">
        <v>152</v>
      </c>
      <c r="E1109">
        <f>WEEKNUM(Append321[[#This Row],[Date]])</f>
        <v>28</v>
      </c>
    </row>
    <row r="1110" spans="1:5">
      <c r="A1110" t="s">
        <v>110</v>
      </c>
      <c r="B1110" t="s">
        <v>95</v>
      </c>
      <c r="C1110" s="5">
        <v>45481</v>
      </c>
      <c r="D1110">
        <v>172</v>
      </c>
      <c r="E1110">
        <f>WEEKNUM(Append321[[#This Row],[Date]])</f>
        <v>28</v>
      </c>
    </row>
    <row r="1111" spans="1:5">
      <c r="A1111" t="s">
        <v>110</v>
      </c>
      <c r="B1111" t="s">
        <v>95</v>
      </c>
      <c r="C1111" s="5">
        <v>45482</v>
      </c>
      <c r="D1111">
        <v>159</v>
      </c>
      <c r="E1111">
        <f>WEEKNUM(Append321[[#This Row],[Date]])</f>
        <v>28</v>
      </c>
    </row>
    <row r="1112" spans="1:5">
      <c r="A1112" t="s">
        <v>110</v>
      </c>
      <c r="B1112" t="s">
        <v>95</v>
      </c>
      <c r="C1112" s="5">
        <v>45483</v>
      </c>
      <c r="D1112">
        <v>102</v>
      </c>
      <c r="E1112">
        <f>WEEKNUM(Append321[[#This Row],[Date]])</f>
        <v>28</v>
      </c>
    </row>
    <row r="1113" spans="1:5">
      <c r="A1113" t="s">
        <v>110</v>
      </c>
      <c r="B1113" t="s">
        <v>95</v>
      </c>
      <c r="C1113" s="5">
        <v>45484</v>
      </c>
      <c r="D1113">
        <v>132</v>
      </c>
      <c r="E1113">
        <f>WEEKNUM(Append321[[#This Row],[Date]])</f>
        <v>28</v>
      </c>
    </row>
    <row r="1114" spans="1:5">
      <c r="A1114" t="s">
        <v>110</v>
      </c>
      <c r="B1114" t="s">
        <v>95</v>
      </c>
      <c r="C1114" s="5">
        <v>45485</v>
      </c>
      <c r="D1114">
        <v>132</v>
      </c>
      <c r="E1114">
        <f>WEEKNUM(Append321[[#This Row],[Date]])</f>
        <v>28</v>
      </c>
    </row>
    <row r="1115" spans="1:5">
      <c r="A1115" t="s">
        <v>110</v>
      </c>
      <c r="B1115" t="s">
        <v>95</v>
      </c>
      <c r="C1115" s="5">
        <v>45486</v>
      </c>
      <c r="D1115">
        <v>131</v>
      </c>
      <c r="E1115">
        <f>WEEKNUM(Append321[[#This Row],[Date]])</f>
        <v>28</v>
      </c>
    </row>
    <row r="1116" spans="1:5">
      <c r="A1116" t="s">
        <v>110</v>
      </c>
      <c r="B1116" t="s">
        <v>95</v>
      </c>
      <c r="C1116" s="5">
        <v>45487</v>
      </c>
      <c r="D1116">
        <v>123</v>
      </c>
      <c r="E1116">
        <f>WEEKNUM(Append321[[#This Row],[Date]])</f>
        <v>29</v>
      </c>
    </row>
    <row r="1117" spans="1:5">
      <c r="A1117" t="s">
        <v>110</v>
      </c>
      <c r="B1117" t="s">
        <v>95</v>
      </c>
      <c r="C1117" s="5">
        <v>45488</v>
      </c>
      <c r="D1117">
        <v>151</v>
      </c>
      <c r="E1117">
        <f>WEEKNUM(Append321[[#This Row],[Date]])</f>
        <v>29</v>
      </c>
    </row>
    <row r="1118" spans="1:5">
      <c r="A1118" t="s">
        <v>110</v>
      </c>
      <c r="B1118" t="s">
        <v>95</v>
      </c>
      <c r="C1118" s="5">
        <v>45489</v>
      </c>
      <c r="D1118">
        <v>117</v>
      </c>
      <c r="E1118">
        <f>WEEKNUM(Append321[[#This Row],[Date]])</f>
        <v>29</v>
      </c>
    </row>
    <row r="1119" spans="1:5">
      <c r="A1119" t="s">
        <v>110</v>
      </c>
      <c r="B1119" t="s">
        <v>95</v>
      </c>
      <c r="C1119" s="5">
        <v>45490</v>
      </c>
      <c r="D1119">
        <v>138</v>
      </c>
      <c r="E1119">
        <f>WEEKNUM(Append321[[#This Row],[Date]])</f>
        <v>29</v>
      </c>
    </row>
    <row r="1120" spans="1:5">
      <c r="A1120" t="s">
        <v>110</v>
      </c>
      <c r="B1120" t="s">
        <v>95</v>
      </c>
      <c r="C1120" s="5">
        <v>45491</v>
      </c>
      <c r="D1120">
        <v>121</v>
      </c>
      <c r="E1120">
        <f>WEEKNUM(Append321[[#This Row],[Date]])</f>
        <v>29</v>
      </c>
    </row>
    <row r="1121" spans="1:5">
      <c r="A1121" t="s">
        <v>110</v>
      </c>
      <c r="B1121" t="s">
        <v>95</v>
      </c>
      <c r="C1121" s="5">
        <v>45492</v>
      </c>
      <c r="D1121">
        <v>447</v>
      </c>
      <c r="E1121">
        <f>WEEKNUM(Append321[[#This Row],[Date]])</f>
        <v>29</v>
      </c>
    </row>
    <row r="1122" spans="1:5">
      <c r="A1122" t="s">
        <v>110</v>
      </c>
      <c r="B1122" t="s">
        <v>95</v>
      </c>
      <c r="C1122" s="5">
        <v>45493</v>
      </c>
      <c r="D1122">
        <v>518</v>
      </c>
      <c r="E1122">
        <f>WEEKNUM(Append321[[#This Row],[Date]])</f>
        <v>29</v>
      </c>
    </row>
    <row r="1123" spans="1:5">
      <c r="A1123" t="s">
        <v>110</v>
      </c>
      <c r="B1123" t="s">
        <v>95</v>
      </c>
      <c r="C1123" s="5">
        <v>45494</v>
      </c>
      <c r="D1123">
        <v>58</v>
      </c>
      <c r="E1123">
        <f>WEEKNUM(Append321[[#This Row],[Date]])</f>
        <v>30</v>
      </c>
    </row>
    <row r="1124" spans="1:5">
      <c r="A1124" t="s">
        <v>110</v>
      </c>
      <c r="B1124" t="s">
        <v>95</v>
      </c>
      <c r="C1124" s="5">
        <v>45495</v>
      </c>
      <c r="D1124">
        <v>103</v>
      </c>
      <c r="E1124">
        <f>WEEKNUM(Append321[[#This Row],[Date]])</f>
        <v>30</v>
      </c>
    </row>
    <row r="1125" spans="1:5">
      <c r="A1125" t="s">
        <v>110</v>
      </c>
      <c r="B1125" t="s">
        <v>95</v>
      </c>
      <c r="C1125" s="5">
        <v>45496</v>
      </c>
      <c r="D1125">
        <v>93</v>
      </c>
      <c r="E1125">
        <f>WEEKNUM(Append321[[#This Row],[Date]])</f>
        <v>30</v>
      </c>
    </row>
    <row r="1126" spans="1:5">
      <c r="A1126" t="s">
        <v>110</v>
      </c>
      <c r="B1126" t="s">
        <v>95</v>
      </c>
      <c r="C1126" s="5">
        <v>45497</v>
      </c>
      <c r="D1126">
        <v>100</v>
      </c>
      <c r="E1126">
        <f>WEEKNUM(Append321[[#This Row],[Date]])</f>
        <v>30</v>
      </c>
    </row>
    <row r="1127" spans="1:5">
      <c r="A1127" t="s">
        <v>110</v>
      </c>
      <c r="B1127" t="s">
        <v>95</v>
      </c>
      <c r="C1127" s="5">
        <v>45498</v>
      </c>
      <c r="D1127">
        <v>106</v>
      </c>
      <c r="E1127">
        <f>WEEKNUM(Append321[[#This Row],[Date]])</f>
        <v>30</v>
      </c>
    </row>
    <row r="1128" spans="1:5">
      <c r="A1128" t="s">
        <v>110</v>
      </c>
      <c r="B1128" t="s">
        <v>95</v>
      </c>
      <c r="C1128" s="5">
        <v>45499</v>
      </c>
      <c r="D1128">
        <v>689</v>
      </c>
      <c r="E1128">
        <f>WEEKNUM(Append321[[#This Row],[Date]])</f>
        <v>30</v>
      </c>
    </row>
    <row r="1129" spans="1:5">
      <c r="A1129" t="s">
        <v>110</v>
      </c>
      <c r="B1129" t="s">
        <v>95</v>
      </c>
      <c r="C1129" s="5">
        <v>45500</v>
      </c>
      <c r="D1129">
        <v>204</v>
      </c>
      <c r="E1129">
        <f>WEEKNUM(Append321[[#This Row],[Date]])</f>
        <v>30</v>
      </c>
    </row>
    <row r="1130" spans="1:5">
      <c r="A1130" t="s">
        <v>110</v>
      </c>
      <c r="B1130" t="s">
        <v>95</v>
      </c>
      <c r="C1130" s="5">
        <v>45501</v>
      </c>
      <c r="D1130">
        <v>69</v>
      </c>
      <c r="E1130">
        <f>WEEKNUM(Append321[[#This Row],[Date]])</f>
        <v>31</v>
      </c>
    </row>
    <row r="1131" spans="1:5">
      <c r="A1131" t="s">
        <v>110</v>
      </c>
      <c r="B1131" t="s">
        <v>95</v>
      </c>
      <c r="C1131" s="5">
        <v>45502</v>
      </c>
      <c r="D1131">
        <v>84</v>
      </c>
      <c r="E1131">
        <f>WEEKNUM(Append321[[#This Row],[Date]])</f>
        <v>31</v>
      </c>
    </row>
    <row r="1132" spans="1:5">
      <c r="A1132" t="s">
        <v>110</v>
      </c>
      <c r="B1132" t="s">
        <v>95</v>
      </c>
      <c r="C1132" s="5">
        <v>45503</v>
      </c>
      <c r="D1132">
        <v>129</v>
      </c>
      <c r="E1132">
        <f>WEEKNUM(Append321[[#This Row],[Date]])</f>
        <v>31</v>
      </c>
    </row>
    <row r="1133" spans="1:5">
      <c r="A1133" t="s">
        <v>110</v>
      </c>
      <c r="B1133" t="s">
        <v>95</v>
      </c>
      <c r="C1133" s="5">
        <v>45504</v>
      </c>
      <c r="D1133">
        <v>117</v>
      </c>
      <c r="E1133">
        <f>WEEKNUM(Append321[[#This Row],[Date]])</f>
        <v>31</v>
      </c>
    </row>
    <row r="1134" spans="1:5">
      <c r="A1134" t="s">
        <v>110</v>
      </c>
      <c r="B1134" t="s">
        <v>95</v>
      </c>
      <c r="C1134" s="5">
        <v>45505</v>
      </c>
      <c r="D1134">
        <v>97</v>
      </c>
      <c r="E1134">
        <f>WEEKNUM(Append321[[#This Row],[Date]])</f>
        <v>31</v>
      </c>
    </row>
    <row r="1135" spans="1:5">
      <c r="A1135" t="s">
        <v>110</v>
      </c>
      <c r="B1135" t="s">
        <v>95</v>
      </c>
      <c r="C1135" s="5">
        <v>45506</v>
      </c>
      <c r="D1135">
        <v>146</v>
      </c>
      <c r="E1135">
        <f>WEEKNUM(Append321[[#This Row],[Date]])</f>
        <v>31</v>
      </c>
    </row>
    <row r="1136" spans="1:5">
      <c r="A1136" t="s">
        <v>110</v>
      </c>
      <c r="B1136" t="s">
        <v>95</v>
      </c>
      <c r="C1136" s="5">
        <v>45507</v>
      </c>
      <c r="D1136">
        <v>130</v>
      </c>
      <c r="E1136">
        <f>WEEKNUM(Append321[[#This Row],[Date]])</f>
        <v>31</v>
      </c>
    </row>
    <row r="1137" spans="1:5">
      <c r="A1137" t="s">
        <v>110</v>
      </c>
      <c r="B1137" t="s">
        <v>95</v>
      </c>
      <c r="C1137" s="5">
        <v>45508</v>
      </c>
      <c r="D1137">
        <v>133</v>
      </c>
      <c r="E1137">
        <f>WEEKNUM(Append321[[#This Row],[Date]])</f>
        <v>32</v>
      </c>
    </row>
    <row r="1138" spans="1:5">
      <c r="A1138" t="s">
        <v>110</v>
      </c>
      <c r="B1138" t="s">
        <v>95</v>
      </c>
      <c r="C1138" s="5">
        <v>45509</v>
      </c>
      <c r="D1138">
        <v>139</v>
      </c>
      <c r="E1138">
        <f>WEEKNUM(Append321[[#This Row],[Date]])</f>
        <v>32</v>
      </c>
    </row>
    <row r="1139" spans="1:5">
      <c r="A1139" t="s">
        <v>110</v>
      </c>
      <c r="B1139" t="s">
        <v>95</v>
      </c>
      <c r="C1139" s="5">
        <v>45510</v>
      </c>
      <c r="D1139">
        <v>126</v>
      </c>
      <c r="E1139">
        <f>WEEKNUM(Append321[[#This Row],[Date]])</f>
        <v>32</v>
      </c>
    </row>
    <row r="1140" spans="1:5">
      <c r="A1140" t="s">
        <v>110</v>
      </c>
      <c r="B1140" t="s">
        <v>95</v>
      </c>
      <c r="C1140" s="5">
        <v>45511</v>
      </c>
      <c r="D1140">
        <v>126</v>
      </c>
      <c r="E1140">
        <f>WEEKNUM(Append321[[#This Row],[Date]])</f>
        <v>32</v>
      </c>
    </row>
    <row r="1141" spans="1:5">
      <c r="A1141" t="s">
        <v>110</v>
      </c>
      <c r="B1141" t="s">
        <v>95</v>
      </c>
      <c r="C1141" s="5">
        <v>45512</v>
      </c>
      <c r="D1141">
        <v>125</v>
      </c>
      <c r="E1141">
        <f>WEEKNUM(Append321[[#This Row],[Date]])</f>
        <v>32</v>
      </c>
    </row>
    <row r="1142" spans="1:5">
      <c r="A1142" t="s">
        <v>110</v>
      </c>
      <c r="B1142" t="s">
        <v>95</v>
      </c>
      <c r="C1142" s="5">
        <v>45513</v>
      </c>
      <c r="D1142">
        <v>127</v>
      </c>
      <c r="E1142">
        <f>WEEKNUM(Append321[[#This Row],[Date]])</f>
        <v>32</v>
      </c>
    </row>
    <row r="1143" spans="1:5">
      <c r="A1143" t="s">
        <v>110</v>
      </c>
      <c r="B1143" t="s">
        <v>95</v>
      </c>
      <c r="C1143" s="5">
        <v>45514</v>
      </c>
      <c r="D1143">
        <v>164</v>
      </c>
      <c r="E1143">
        <f>WEEKNUM(Append321[[#This Row],[Date]])</f>
        <v>32</v>
      </c>
    </row>
    <row r="1144" spans="1:5">
      <c r="A1144" t="s">
        <v>110</v>
      </c>
      <c r="B1144" t="s">
        <v>95</v>
      </c>
      <c r="C1144" s="5">
        <v>45515</v>
      </c>
      <c r="D1144">
        <v>123</v>
      </c>
      <c r="E1144">
        <f>WEEKNUM(Append321[[#This Row],[Date]])</f>
        <v>33</v>
      </c>
    </row>
    <row r="1145" spans="1:5">
      <c r="A1145" t="s">
        <v>110</v>
      </c>
      <c r="B1145" t="s">
        <v>95</v>
      </c>
      <c r="C1145" s="5">
        <v>45516</v>
      </c>
      <c r="D1145">
        <v>122</v>
      </c>
      <c r="E1145">
        <f>WEEKNUM(Append321[[#This Row],[Date]])</f>
        <v>33</v>
      </c>
    </row>
    <row r="1146" spans="1:5">
      <c r="A1146" t="s">
        <v>110</v>
      </c>
      <c r="B1146" t="s">
        <v>95</v>
      </c>
      <c r="C1146" s="5">
        <v>45517</v>
      </c>
      <c r="D1146">
        <v>142</v>
      </c>
      <c r="E1146">
        <f>WEEKNUM(Append321[[#This Row],[Date]])</f>
        <v>33</v>
      </c>
    </row>
    <row r="1147" spans="1:5">
      <c r="A1147" t="s">
        <v>110</v>
      </c>
      <c r="B1147" t="s">
        <v>95</v>
      </c>
      <c r="C1147" s="5">
        <v>45518</v>
      </c>
      <c r="D1147">
        <v>192</v>
      </c>
      <c r="E1147">
        <f>WEEKNUM(Append321[[#This Row],[Date]])</f>
        <v>33</v>
      </c>
    </row>
    <row r="1148" spans="1:5">
      <c r="A1148" t="s">
        <v>110</v>
      </c>
      <c r="B1148" t="s">
        <v>95</v>
      </c>
      <c r="C1148" s="5">
        <v>45519</v>
      </c>
      <c r="D1148">
        <v>248</v>
      </c>
      <c r="E1148">
        <f>WEEKNUM(Append321[[#This Row],[Date]])</f>
        <v>33</v>
      </c>
    </row>
    <row r="1149" spans="1:5">
      <c r="A1149" t="s">
        <v>110</v>
      </c>
      <c r="B1149" t="s">
        <v>95</v>
      </c>
      <c r="C1149" s="5">
        <v>45520</v>
      </c>
      <c r="D1149">
        <v>182</v>
      </c>
      <c r="E1149">
        <f>WEEKNUM(Append321[[#This Row],[Date]])</f>
        <v>33</v>
      </c>
    </row>
    <row r="1150" spans="1:5">
      <c r="A1150" t="s">
        <v>110</v>
      </c>
      <c r="B1150" t="s">
        <v>95</v>
      </c>
      <c r="C1150" s="5">
        <v>45521</v>
      </c>
      <c r="D1150">
        <v>172</v>
      </c>
      <c r="E1150">
        <f>WEEKNUM(Append321[[#This Row],[Date]])</f>
        <v>33</v>
      </c>
    </row>
    <row r="1151" spans="1:5">
      <c r="A1151" t="s">
        <v>110</v>
      </c>
      <c r="B1151" t="s">
        <v>95</v>
      </c>
      <c r="C1151" s="5">
        <v>45522</v>
      </c>
      <c r="D1151">
        <v>140</v>
      </c>
      <c r="E1151">
        <f>WEEKNUM(Append321[[#This Row],[Date]])</f>
        <v>34</v>
      </c>
    </row>
    <row r="1152" spans="1:5">
      <c r="A1152" t="s">
        <v>110</v>
      </c>
      <c r="B1152" t="s">
        <v>95</v>
      </c>
      <c r="C1152" s="5">
        <v>45523</v>
      </c>
      <c r="D1152">
        <v>170</v>
      </c>
      <c r="E1152">
        <f>WEEKNUM(Append321[[#This Row],[Date]])</f>
        <v>34</v>
      </c>
    </row>
    <row r="1153" spans="1:5">
      <c r="A1153" t="s">
        <v>110</v>
      </c>
      <c r="B1153" t="s">
        <v>95</v>
      </c>
      <c r="C1153" s="5">
        <v>45524</v>
      </c>
      <c r="D1153">
        <v>158</v>
      </c>
      <c r="E1153">
        <f>WEEKNUM(Append321[[#This Row],[Date]])</f>
        <v>34</v>
      </c>
    </row>
    <row r="1154" spans="1:5">
      <c r="A1154" t="s">
        <v>110</v>
      </c>
      <c r="B1154" t="s">
        <v>95</v>
      </c>
      <c r="C1154" s="5">
        <v>45525</v>
      </c>
      <c r="D1154">
        <v>125</v>
      </c>
      <c r="E1154">
        <f>WEEKNUM(Append321[[#This Row],[Date]])</f>
        <v>34</v>
      </c>
    </row>
    <row r="1155" spans="1:5">
      <c r="A1155" t="s">
        <v>110</v>
      </c>
      <c r="B1155" t="s">
        <v>95</v>
      </c>
      <c r="C1155" s="5">
        <v>45526</v>
      </c>
      <c r="D1155">
        <v>144</v>
      </c>
      <c r="E1155">
        <f>WEEKNUM(Append321[[#This Row],[Date]])</f>
        <v>34</v>
      </c>
    </row>
    <row r="1156" spans="1:5">
      <c r="A1156" t="s">
        <v>110</v>
      </c>
      <c r="B1156" t="s">
        <v>95</v>
      </c>
      <c r="C1156" s="5">
        <v>45527</v>
      </c>
      <c r="D1156">
        <v>131</v>
      </c>
      <c r="E1156">
        <f>WEEKNUM(Append321[[#This Row],[Date]])</f>
        <v>34</v>
      </c>
    </row>
    <row r="1157" spans="1:5">
      <c r="A1157" t="s">
        <v>110</v>
      </c>
      <c r="B1157" t="s">
        <v>95</v>
      </c>
      <c r="C1157" s="5">
        <v>45528</v>
      </c>
      <c r="D1157">
        <v>121</v>
      </c>
      <c r="E1157">
        <f>WEEKNUM(Append321[[#This Row],[Date]])</f>
        <v>34</v>
      </c>
    </row>
    <row r="1158" spans="1:5">
      <c r="A1158" t="s">
        <v>110</v>
      </c>
      <c r="B1158" t="s">
        <v>95</v>
      </c>
      <c r="C1158" s="5">
        <v>45529</v>
      </c>
      <c r="D1158">
        <v>135</v>
      </c>
      <c r="E1158">
        <f>WEEKNUM(Append321[[#This Row],[Date]])</f>
        <v>35</v>
      </c>
    </row>
    <row r="1159" spans="1:5">
      <c r="A1159" t="s">
        <v>110</v>
      </c>
      <c r="B1159" t="s">
        <v>95</v>
      </c>
      <c r="C1159" s="5">
        <v>45530</v>
      </c>
      <c r="D1159">
        <v>161</v>
      </c>
      <c r="E1159">
        <f>WEEKNUM(Append321[[#This Row],[Date]])</f>
        <v>35</v>
      </c>
    </row>
    <row r="1160" spans="1:5">
      <c r="A1160" t="s">
        <v>110</v>
      </c>
      <c r="B1160" t="s">
        <v>95</v>
      </c>
      <c r="C1160" s="5">
        <v>45531</v>
      </c>
      <c r="D1160">
        <v>153</v>
      </c>
      <c r="E1160">
        <f>WEEKNUM(Append321[[#This Row],[Date]])</f>
        <v>35</v>
      </c>
    </row>
    <row r="1161" spans="1:5">
      <c r="A1161" t="s">
        <v>110</v>
      </c>
      <c r="B1161" t="s">
        <v>95</v>
      </c>
      <c r="C1161" s="5">
        <v>45532</v>
      </c>
      <c r="D1161">
        <v>162</v>
      </c>
      <c r="E1161">
        <f>WEEKNUM(Append321[[#This Row],[Date]])</f>
        <v>35</v>
      </c>
    </row>
    <row r="1162" spans="1:5">
      <c r="A1162" t="s">
        <v>110</v>
      </c>
      <c r="B1162" t="s">
        <v>95</v>
      </c>
      <c r="C1162" s="5">
        <v>45533</v>
      </c>
      <c r="D1162">
        <v>173</v>
      </c>
      <c r="E1162">
        <f>WEEKNUM(Append321[[#This Row],[Date]])</f>
        <v>35</v>
      </c>
    </row>
    <row r="1163" spans="1:5">
      <c r="A1163" t="s">
        <v>110</v>
      </c>
      <c r="B1163" t="s">
        <v>95</v>
      </c>
      <c r="C1163" s="5">
        <v>45534</v>
      </c>
      <c r="D1163">
        <v>148</v>
      </c>
      <c r="E1163">
        <f>WEEKNUM(Append321[[#This Row],[Date]])</f>
        <v>35</v>
      </c>
    </row>
    <row r="1164" spans="1:5">
      <c r="A1164" t="s">
        <v>110</v>
      </c>
      <c r="B1164" t="s">
        <v>95</v>
      </c>
      <c r="C1164" s="5">
        <v>45535</v>
      </c>
      <c r="D1164">
        <v>117</v>
      </c>
      <c r="E1164">
        <f>WEEKNUM(Append321[[#This Row],[Date]])</f>
        <v>35</v>
      </c>
    </row>
    <row r="1165" spans="1:5">
      <c r="A1165" t="s">
        <v>110</v>
      </c>
      <c r="B1165" t="s">
        <v>96</v>
      </c>
      <c r="C1165" s="5">
        <v>45444</v>
      </c>
      <c r="D1165">
        <v>124</v>
      </c>
      <c r="E1165">
        <f>WEEKNUM(Append321[[#This Row],[Date]])</f>
        <v>22</v>
      </c>
    </row>
    <row r="1166" spans="1:5">
      <c r="A1166" t="s">
        <v>110</v>
      </c>
      <c r="B1166" t="s">
        <v>96</v>
      </c>
      <c r="C1166" s="5">
        <v>45445</v>
      </c>
      <c r="D1166">
        <v>114</v>
      </c>
      <c r="E1166">
        <f>WEEKNUM(Append321[[#This Row],[Date]])</f>
        <v>23</v>
      </c>
    </row>
    <row r="1167" spans="1:5">
      <c r="A1167" t="s">
        <v>110</v>
      </c>
      <c r="B1167" t="s">
        <v>96</v>
      </c>
      <c r="C1167" s="5">
        <v>45446</v>
      </c>
      <c r="D1167">
        <v>132</v>
      </c>
      <c r="E1167">
        <f>WEEKNUM(Append321[[#This Row],[Date]])</f>
        <v>23</v>
      </c>
    </row>
    <row r="1168" spans="1:5">
      <c r="A1168" t="s">
        <v>110</v>
      </c>
      <c r="B1168" t="s">
        <v>96</v>
      </c>
      <c r="C1168" s="5">
        <v>45447</v>
      </c>
      <c r="D1168">
        <v>134</v>
      </c>
      <c r="E1168">
        <f>WEEKNUM(Append321[[#This Row],[Date]])</f>
        <v>23</v>
      </c>
    </row>
    <row r="1169" spans="1:5">
      <c r="A1169" t="s">
        <v>110</v>
      </c>
      <c r="B1169" t="s">
        <v>96</v>
      </c>
      <c r="C1169" s="5">
        <v>45448</v>
      </c>
      <c r="D1169">
        <v>156</v>
      </c>
      <c r="E1169">
        <f>WEEKNUM(Append321[[#This Row],[Date]])</f>
        <v>23</v>
      </c>
    </row>
    <row r="1170" spans="1:5">
      <c r="A1170" t="s">
        <v>110</v>
      </c>
      <c r="B1170" t="s">
        <v>96</v>
      </c>
      <c r="C1170" s="5">
        <v>45449</v>
      </c>
      <c r="D1170">
        <v>126</v>
      </c>
      <c r="E1170">
        <f>WEEKNUM(Append321[[#This Row],[Date]])</f>
        <v>23</v>
      </c>
    </row>
    <row r="1171" spans="1:5">
      <c r="A1171" t="s">
        <v>110</v>
      </c>
      <c r="B1171" t="s">
        <v>96</v>
      </c>
      <c r="C1171" s="5">
        <v>45450</v>
      </c>
      <c r="D1171">
        <v>139</v>
      </c>
      <c r="E1171">
        <f>WEEKNUM(Append321[[#This Row],[Date]])</f>
        <v>23</v>
      </c>
    </row>
    <row r="1172" spans="1:5">
      <c r="A1172" t="s">
        <v>110</v>
      </c>
      <c r="B1172" t="s">
        <v>96</v>
      </c>
      <c r="C1172" s="5">
        <v>45451</v>
      </c>
      <c r="D1172">
        <v>132</v>
      </c>
      <c r="E1172">
        <f>WEEKNUM(Append321[[#This Row],[Date]])</f>
        <v>23</v>
      </c>
    </row>
    <row r="1173" spans="1:5">
      <c r="A1173" t="s">
        <v>110</v>
      </c>
      <c r="B1173" t="s">
        <v>96</v>
      </c>
      <c r="C1173" s="5">
        <v>45452</v>
      </c>
      <c r="D1173">
        <v>121</v>
      </c>
      <c r="E1173">
        <f>WEEKNUM(Append321[[#This Row],[Date]])</f>
        <v>24</v>
      </c>
    </row>
    <row r="1174" spans="1:5">
      <c r="A1174" t="s">
        <v>110</v>
      </c>
      <c r="B1174" t="s">
        <v>96</v>
      </c>
      <c r="C1174" s="5">
        <v>45453</v>
      </c>
      <c r="D1174">
        <v>93</v>
      </c>
      <c r="E1174">
        <f>WEEKNUM(Append321[[#This Row],[Date]])</f>
        <v>24</v>
      </c>
    </row>
    <row r="1175" spans="1:5">
      <c r="A1175" t="s">
        <v>110</v>
      </c>
      <c r="B1175" t="s">
        <v>96</v>
      </c>
      <c r="C1175" s="5">
        <v>45454</v>
      </c>
      <c r="D1175">
        <v>118</v>
      </c>
      <c r="E1175">
        <f>WEEKNUM(Append321[[#This Row],[Date]])</f>
        <v>24</v>
      </c>
    </row>
    <row r="1176" spans="1:5">
      <c r="A1176" t="s">
        <v>110</v>
      </c>
      <c r="B1176" t="s">
        <v>96</v>
      </c>
      <c r="C1176" s="5">
        <v>45455</v>
      </c>
      <c r="D1176">
        <v>119</v>
      </c>
      <c r="E1176">
        <f>WEEKNUM(Append321[[#This Row],[Date]])</f>
        <v>24</v>
      </c>
    </row>
    <row r="1177" spans="1:5">
      <c r="A1177" t="s">
        <v>110</v>
      </c>
      <c r="B1177" t="s">
        <v>96</v>
      </c>
      <c r="C1177" s="5">
        <v>45456</v>
      </c>
      <c r="D1177">
        <v>132</v>
      </c>
      <c r="E1177">
        <f>WEEKNUM(Append321[[#This Row],[Date]])</f>
        <v>24</v>
      </c>
    </row>
    <row r="1178" spans="1:5">
      <c r="A1178" t="s">
        <v>110</v>
      </c>
      <c r="B1178" t="s">
        <v>96</v>
      </c>
      <c r="C1178" s="5">
        <v>45457</v>
      </c>
      <c r="D1178">
        <v>159</v>
      </c>
      <c r="E1178">
        <f>WEEKNUM(Append321[[#This Row],[Date]])</f>
        <v>24</v>
      </c>
    </row>
    <row r="1179" spans="1:5">
      <c r="A1179" t="s">
        <v>110</v>
      </c>
      <c r="B1179" t="s">
        <v>96</v>
      </c>
      <c r="C1179" s="5">
        <v>45458</v>
      </c>
      <c r="D1179">
        <v>152</v>
      </c>
      <c r="E1179">
        <f>WEEKNUM(Append321[[#This Row],[Date]])</f>
        <v>24</v>
      </c>
    </row>
    <row r="1180" spans="1:5">
      <c r="A1180" t="s">
        <v>110</v>
      </c>
      <c r="B1180" t="s">
        <v>96</v>
      </c>
      <c r="C1180" s="5">
        <v>45459</v>
      </c>
      <c r="D1180">
        <v>139</v>
      </c>
      <c r="E1180">
        <f>WEEKNUM(Append321[[#This Row],[Date]])</f>
        <v>25</v>
      </c>
    </row>
    <row r="1181" spans="1:5">
      <c r="A1181" t="s">
        <v>110</v>
      </c>
      <c r="B1181" t="s">
        <v>96</v>
      </c>
      <c r="C1181" s="5">
        <v>45460</v>
      </c>
      <c r="D1181">
        <v>134</v>
      </c>
      <c r="E1181">
        <f>WEEKNUM(Append321[[#This Row],[Date]])</f>
        <v>25</v>
      </c>
    </row>
    <row r="1182" spans="1:5">
      <c r="A1182" t="s">
        <v>110</v>
      </c>
      <c r="B1182" t="s">
        <v>96</v>
      </c>
      <c r="C1182" s="5">
        <v>45461</v>
      </c>
      <c r="D1182">
        <v>175</v>
      </c>
      <c r="E1182">
        <f>WEEKNUM(Append321[[#This Row],[Date]])</f>
        <v>25</v>
      </c>
    </row>
    <row r="1183" spans="1:5">
      <c r="A1183" t="s">
        <v>110</v>
      </c>
      <c r="B1183" t="s">
        <v>96</v>
      </c>
      <c r="C1183" s="5">
        <v>45462</v>
      </c>
      <c r="D1183">
        <v>138</v>
      </c>
      <c r="E1183">
        <f>WEEKNUM(Append321[[#This Row],[Date]])</f>
        <v>25</v>
      </c>
    </row>
    <row r="1184" spans="1:5">
      <c r="A1184" t="s">
        <v>110</v>
      </c>
      <c r="B1184" t="s">
        <v>96</v>
      </c>
      <c r="C1184" s="5">
        <v>45463</v>
      </c>
      <c r="D1184">
        <v>111</v>
      </c>
      <c r="E1184">
        <f>WEEKNUM(Append321[[#This Row],[Date]])</f>
        <v>25</v>
      </c>
    </row>
    <row r="1185" spans="1:5">
      <c r="A1185" t="s">
        <v>110</v>
      </c>
      <c r="B1185" t="s">
        <v>96</v>
      </c>
      <c r="C1185" s="5">
        <v>45464</v>
      </c>
      <c r="D1185">
        <v>133</v>
      </c>
      <c r="E1185">
        <f>WEEKNUM(Append321[[#This Row],[Date]])</f>
        <v>25</v>
      </c>
    </row>
    <row r="1186" spans="1:5">
      <c r="A1186" t="s">
        <v>110</v>
      </c>
      <c r="B1186" t="s">
        <v>96</v>
      </c>
      <c r="C1186" s="5">
        <v>45465</v>
      </c>
      <c r="D1186">
        <v>147</v>
      </c>
      <c r="E1186">
        <f>WEEKNUM(Append321[[#This Row],[Date]])</f>
        <v>25</v>
      </c>
    </row>
    <row r="1187" spans="1:5">
      <c r="A1187" t="s">
        <v>110</v>
      </c>
      <c r="B1187" t="s">
        <v>96</v>
      </c>
      <c r="C1187" s="5">
        <v>45466</v>
      </c>
      <c r="D1187">
        <v>126</v>
      </c>
      <c r="E1187">
        <f>WEEKNUM(Append321[[#This Row],[Date]])</f>
        <v>26</v>
      </c>
    </row>
    <row r="1188" spans="1:5">
      <c r="A1188" t="s">
        <v>110</v>
      </c>
      <c r="B1188" t="s">
        <v>96</v>
      </c>
      <c r="C1188" s="5">
        <v>45467</v>
      </c>
      <c r="D1188">
        <v>132</v>
      </c>
      <c r="E1188">
        <f>WEEKNUM(Append321[[#This Row],[Date]])</f>
        <v>26</v>
      </c>
    </row>
    <row r="1189" spans="1:5">
      <c r="A1189" t="s">
        <v>110</v>
      </c>
      <c r="B1189" t="s">
        <v>96</v>
      </c>
      <c r="C1189" s="5">
        <v>45468</v>
      </c>
      <c r="D1189">
        <v>111</v>
      </c>
      <c r="E1189">
        <f>WEEKNUM(Append321[[#This Row],[Date]])</f>
        <v>26</v>
      </c>
    </row>
    <row r="1190" spans="1:5">
      <c r="A1190" t="s">
        <v>110</v>
      </c>
      <c r="B1190" t="s">
        <v>96</v>
      </c>
      <c r="C1190" s="5">
        <v>45469</v>
      </c>
      <c r="D1190">
        <v>131</v>
      </c>
      <c r="E1190">
        <f>WEEKNUM(Append321[[#This Row],[Date]])</f>
        <v>26</v>
      </c>
    </row>
    <row r="1191" spans="1:5">
      <c r="A1191" t="s">
        <v>110</v>
      </c>
      <c r="B1191" t="s">
        <v>96</v>
      </c>
      <c r="C1191" s="5">
        <v>45470</v>
      </c>
      <c r="D1191">
        <v>147</v>
      </c>
      <c r="E1191">
        <f>WEEKNUM(Append321[[#This Row],[Date]])</f>
        <v>26</v>
      </c>
    </row>
    <row r="1192" spans="1:5">
      <c r="A1192" t="s">
        <v>110</v>
      </c>
      <c r="B1192" t="s">
        <v>96</v>
      </c>
      <c r="C1192" s="5">
        <v>45471</v>
      </c>
      <c r="D1192">
        <v>158</v>
      </c>
      <c r="E1192">
        <f>WEEKNUM(Append321[[#This Row],[Date]])</f>
        <v>26</v>
      </c>
    </row>
    <row r="1193" spans="1:5">
      <c r="A1193" t="s">
        <v>110</v>
      </c>
      <c r="B1193" t="s">
        <v>96</v>
      </c>
      <c r="C1193" s="5">
        <v>45472</v>
      </c>
      <c r="D1193">
        <v>188</v>
      </c>
      <c r="E1193">
        <f>WEEKNUM(Append321[[#This Row],[Date]])</f>
        <v>26</v>
      </c>
    </row>
    <row r="1194" spans="1:5">
      <c r="A1194" t="s">
        <v>110</v>
      </c>
      <c r="B1194" t="s">
        <v>96</v>
      </c>
      <c r="C1194" s="5">
        <v>45473</v>
      </c>
      <c r="D1194">
        <v>167</v>
      </c>
      <c r="E1194">
        <f>WEEKNUM(Append321[[#This Row],[Date]])</f>
        <v>27</v>
      </c>
    </row>
    <row r="1195" spans="1:5">
      <c r="A1195" t="s">
        <v>110</v>
      </c>
      <c r="B1195" t="s">
        <v>96</v>
      </c>
      <c r="C1195" s="5">
        <v>45474</v>
      </c>
      <c r="D1195">
        <v>222</v>
      </c>
      <c r="E1195">
        <f>WEEKNUM(Append321[[#This Row],[Date]])</f>
        <v>27</v>
      </c>
    </row>
    <row r="1196" spans="1:5">
      <c r="A1196" t="s">
        <v>110</v>
      </c>
      <c r="B1196" t="s">
        <v>96</v>
      </c>
      <c r="C1196" s="5">
        <v>45475</v>
      </c>
      <c r="D1196">
        <v>310</v>
      </c>
      <c r="E1196">
        <f>WEEKNUM(Append321[[#This Row],[Date]])</f>
        <v>27</v>
      </c>
    </row>
    <row r="1197" spans="1:5">
      <c r="A1197" t="s">
        <v>110</v>
      </c>
      <c r="B1197" t="s">
        <v>96</v>
      </c>
      <c r="C1197" s="5">
        <v>45476</v>
      </c>
      <c r="D1197">
        <v>238</v>
      </c>
      <c r="E1197">
        <f>WEEKNUM(Append321[[#This Row],[Date]])</f>
        <v>27</v>
      </c>
    </row>
    <row r="1198" spans="1:5">
      <c r="A1198" t="s">
        <v>110</v>
      </c>
      <c r="B1198" t="s">
        <v>96</v>
      </c>
      <c r="C1198" s="5">
        <v>45477</v>
      </c>
      <c r="D1198">
        <v>212</v>
      </c>
      <c r="E1198">
        <f>WEEKNUM(Append321[[#This Row],[Date]])</f>
        <v>27</v>
      </c>
    </row>
    <row r="1199" spans="1:5">
      <c r="A1199" t="s">
        <v>110</v>
      </c>
      <c r="B1199" t="s">
        <v>96</v>
      </c>
      <c r="C1199" s="5">
        <v>45478</v>
      </c>
      <c r="D1199">
        <v>197</v>
      </c>
      <c r="E1199">
        <f>WEEKNUM(Append321[[#This Row],[Date]])</f>
        <v>27</v>
      </c>
    </row>
    <row r="1200" spans="1:5">
      <c r="A1200" t="s">
        <v>110</v>
      </c>
      <c r="B1200" t="s">
        <v>96</v>
      </c>
      <c r="C1200" s="5">
        <v>45479</v>
      </c>
      <c r="D1200">
        <v>287</v>
      </c>
      <c r="E1200">
        <f>WEEKNUM(Append321[[#This Row],[Date]])</f>
        <v>27</v>
      </c>
    </row>
    <row r="1201" spans="1:5">
      <c r="A1201" t="s">
        <v>110</v>
      </c>
      <c r="B1201" t="s">
        <v>96</v>
      </c>
      <c r="C1201" s="5">
        <v>45480</v>
      </c>
      <c r="D1201">
        <v>190</v>
      </c>
      <c r="E1201">
        <f>WEEKNUM(Append321[[#This Row],[Date]])</f>
        <v>28</v>
      </c>
    </row>
    <row r="1202" spans="1:5">
      <c r="A1202" t="s">
        <v>110</v>
      </c>
      <c r="B1202" t="s">
        <v>96</v>
      </c>
      <c r="C1202" s="5">
        <v>45481</v>
      </c>
      <c r="D1202">
        <v>203</v>
      </c>
      <c r="E1202">
        <f>WEEKNUM(Append321[[#This Row],[Date]])</f>
        <v>28</v>
      </c>
    </row>
    <row r="1203" spans="1:5">
      <c r="A1203" t="s">
        <v>110</v>
      </c>
      <c r="B1203" t="s">
        <v>96</v>
      </c>
      <c r="C1203" s="5">
        <v>45482</v>
      </c>
      <c r="D1203">
        <v>214</v>
      </c>
      <c r="E1203">
        <f>WEEKNUM(Append321[[#This Row],[Date]])</f>
        <v>28</v>
      </c>
    </row>
    <row r="1204" spans="1:5">
      <c r="A1204" t="s">
        <v>110</v>
      </c>
      <c r="B1204" t="s">
        <v>96</v>
      </c>
      <c r="C1204" s="5">
        <v>45483</v>
      </c>
      <c r="D1204">
        <v>182</v>
      </c>
      <c r="E1204">
        <f>WEEKNUM(Append321[[#This Row],[Date]])</f>
        <v>28</v>
      </c>
    </row>
    <row r="1205" spans="1:5">
      <c r="A1205" t="s">
        <v>110</v>
      </c>
      <c r="B1205" t="s">
        <v>96</v>
      </c>
      <c r="C1205" s="5">
        <v>45484</v>
      </c>
      <c r="D1205">
        <v>198</v>
      </c>
      <c r="E1205">
        <f>WEEKNUM(Append321[[#This Row],[Date]])</f>
        <v>28</v>
      </c>
    </row>
    <row r="1206" spans="1:5">
      <c r="A1206" t="s">
        <v>110</v>
      </c>
      <c r="B1206" t="s">
        <v>96</v>
      </c>
      <c r="C1206" s="5">
        <v>45485</v>
      </c>
      <c r="D1206">
        <v>186</v>
      </c>
      <c r="E1206">
        <f>WEEKNUM(Append321[[#This Row],[Date]])</f>
        <v>28</v>
      </c>
    </row>
    <row r="1207" spans="1:5">
      <c r="A1207" t="s">
        <v>110</v>
      </c>
      <c r="B1207" t="s">
        <v>96</v>
      </c>
      <c r="C1207" s="5">
        <v>45486</v>
      </c>
      <c r="D1207">
        <v>204</v>
      </c>
      <c r="E1207">
        <f>WEEKNUM(Append321[[#This Row],[Date]])</f>
        <v>28</v>
      </c>
    </row>
    <row r="1208" spans="1:5">
      <c r="A1208" t="s">
        <v>110</v>
      </c>
      <c r="B1208" t="s">
        <v>96</v>
      </c>
      <c r="C1208" s="5">
        <v>45487</v>
      </c>
      <c r="D1208">
        <v>133</v>
      </c>
      <c r="E1208">
        <f>WEEKNUM(Append321[[#This Row],[Date]])</f>
        <v>29</v>
      </c>
    </row>
    <row r="1209" spans="1:5">
      <c r="A1209" t="s">
        <v>110</v>
      </c>
      <c r="B1209" t="s">
        <v>96</v>
      </c>
      <c r="C1209" s="5">
        <v>45488</v>
      </c>
      <c r="D1209">
        <v>197</v>
      </c>
      <c r="E1209">
        <f>WEEKNUM(Append321[[#This Row],[Date]])</f>
        <v>29</v>
      </c>
    </row>
    <row r="1210" spans="1:5">
      <c r="A1210" t="s">
        <v>110</v>
      </c>
      <c r="B1210" t="s">
        <v>96</v>
      </c>
      <c r="C1210" s="5">
        <v>45489</v>
      </c>
      <c r="D1210">
        <v>162</v>
      </c>
      <c r="E1210">
        <f>WEEKNUM(Append321[[#This Row],[Date]])</f>
        <v>29</v>
      </c>
    </row>
    <row r="1211" spans="1:5">
      <c r="A1211" t="s">
        <v>110</v>
      </c>
      <c r="B1211" t="s">
        <v>96</v>
      </c>
      <c r="C1211" s="5">
        <v>45490</v>
      </c>
      <c r="D1211">
        <v>153</v>
      </c>
      <c r="E1211">
        <f>WEEKNUM(Append321[[#This Row],[Date]])</f>
        <v>29</v>
      </c>
    </row>
    <row r="1212" spans="1:5">
      <c r="A1212" t="s">
        <v>110</v>
      </c>
      <c r="B1212" t="s">
        <v>96</v>
      </c>
      <c r="C1212" s="5">
        <v>45491</v>
      </c>
      <c r="D1212">
        <v>130</v>
      </c>
      <c r="E1212">
        <f>WEEKNUM(Append321[[#This Row],[Date]])</f>
        <v>29</v>
      </c>
    </row>
    <row r="1213" spans="1:5">
      <c r="A1213" t="s">
        <v>110</v>
      </c>
      <c r="B1213" t="s">
        <v>96</v>
      </c>
      <c r="C1213" s="5">
        <v>45492</v>
      </c>
      <c r="D1213">
        <v>133</v>
      </c>
      <c r="E1213">
        <f>WEEKNUM(Append321[[#This Row],[Date]])</f>
        <v>29</v>
      </c>
    </row>
    <row r="1214" spans="1:5">
      <c r="A1214" t="s">
        <v>110</v>
      </c>
      <c r="B1214" t="s">
        <v>96</v>
      </c>
      <c r="C1214" s="5">
        <v>45493</v>
      </c>
      <c r="D1214">
        <v>178</v>
      </c>
      <c r="E1214">
        <f>WEEKNUM(Append321[[#This Row],[Date]])</f>
        <v>29</v>
      </c>
    </row>
    <row r="1215" spans="1:5">
      <c r="A1215" t="s">
        <v>110</v>
      </c>
      <c r="B1215" t="s">
        <v>96</v>
      </c>
      <c r="C1215" s="5">
        <v>45494</v>
      </c>
      <c r="D1215">
        <v>149</v>
      </c>
      <c r="E1215">
        <f>WEEKNUM(Append321[[#This Row],[Date]])</f>
        <v>30</v>
      </c>
    </row>
    <row r="1216" spans="1:5">
      <c r="A1216" t="s">
        <v>110</v>
      </c>
      <c r="B1216" t="s">
        <v>96</v>
      </c>
      <c r="C1216" s="5">
        <v>45495</v>
      </c>
      <c r="D1216">
        <v>158</v>
      </c>
      <c r="E1216">
        <f>WEEKNUM(Append321[[#This Row],[Date]])</f>
        <v>30</v>
      </c>
    </row>
    <row r="1217" spans="1:5">
      <c r="A1217" t="s">
        <v>110</v>
      </c>
      <c r="B1217" t="s">
        <v>96</v>
      </c>
      <c r="C1217" s="5">
        <v>45496</v>
      </c>
      <c r="D1217">
        <v>455</v>
      </c>
      <c r="E1217">
        <f>WEEKNUM(Append321[[#This Row],[Date]])</f>
        <v>30</v>
      </c>
    </row>
    <row r="1218" spans="1:5">
      <c r="A1218" t="s">
        <v>110</v>
      </c>
      <c r="B1218" t="s">
        <v>96</v>
      </c>
      <c r="C1218" s="5">
        <v>45497</v>
      </c>
      <c r="D1218">
        <v>393</v>
      </c>
      <c r="E1218">
        <f>WEEKNUM(Append321[[#This Row],[Date]])</f>
        <v>30</v>
      </c>
    </row>
    <row r="1219" spans="1:5">
      <c r="A1219" t="s">
        <v>110</v>
      </c>
      <c r="B1219" t="s">
        <v>96</v>
      </c>
      <c r="C1219" s="5">
        <v>45498</v>
      </c>
      <c r="D1219">
        <v>136</v>
      </c>
      <c r="E1219">
        <f>WEEKNUM(Append321[[#This Row],[Date]])</f>
        <v>30</v>
      </c>
    </row>
    <row r="1220" spans="1:5">
      <c r="A1220" t="s">
        <v>110</v>
      </c>
      <c r="B1220" t="s">
        <v>96</v>
      </c>
      <c r="C1220" s="5">
        <v>45499</v>
      </c>
      <c r="D1220">
        <v>201</v>
      </c>
      <c r="E1220">
        <f>WEEKNUM(Append321[[#This Row],[Date]])</f>
        <v>30</v>
      </c>
    </row>
    <row r="1221" spans="1:5">
      <c r="A1221" t="s">
        <v>110</v>
      </c>
      <c r="B1221" t="s">
        <v>96</v>
      </c>
      <c r="C1221" s="5">
        <v>45500</v>
      </c>
      <c r="D1221">
        <v>224</v>
      </c>
      <c r="E1221">
        <f>WEEKNUM(Append321[[#This Row],[Date]])</f>
        <v>30</v>
      </c>
    </row>
    <row r="1222" spans="1:5">
      <c r="A1222" t="s">
        <v>110</v>
      </c>
      <c r="B1222" t="s">
        <v>96</v>
      </c>
      <c r="C1222" s="5">
        <v>45501</v>
      </c>
      <c r="D1222">
        <v>192</v>
      </c>
      <c r="E1222">
        <f>WEEKNUM(Append321[[#This Row],[Date]])</f>
        <v>31</v>
      </c>
    </row>
    <row r="1223" spans="1:5">
      <c r="A1223" t="s">
        <v>110</v>
      </c>
      <c r="B1223" t="s">
        <v>96</v>
      </c>
      <c r="C1223" s="5">
        <v>45502</v>
      </c>
      <c r="D1223">
        <v>197</v>
      </c>
      <c r="E1223">
        <f>WEEKNUM(Append321[[#This Row],[Date]])</f>
        <v>31</v>
      </c>
    </row>
    <row r="1224" spans="1:5">
      <c r="A1224" t="s">
        <v>110</v>
      </c>
      <c r="B1224" t="s">
        <v>96</v>
      </c>
      <c r="C1224" s="5">
        <v>45503</v>
      </c>
      <c r="D1224">
        <v>241</v>
      </c>
      <c r="E1224">
        <f>WEEKNUM(Append321[[#This Row],[Date]])</f>
        <v>31</v>
      </c>
    </row>
    <row r="1225" spans="1:5">
      <c r="A1225" t="s">
        <v>110</v>
      </c>
      <c r="B1225" t="s">
        <v>96</v>
      </c>
      <c r="C1225" s="5">
        <v>45504</v>
      </c>
      <c r="D1225">
        <v>198</v>
      </c>
      <c r="E1225">
        <f>WEEKNUM(Append321[[#This Row],[Date]])</f>
        <v>31</v>
      </c>
    </row>
    <row r="1226" spans="1:5">
      <c r="A1226" t="s">
        <v>110</v>
      </c>
      <c r="B1226" t="s">
        <v>96</v>
      </c>
      <c r="C1226" s="5">
        <v>45505</v>
      </c>
      <c r="D1226">
        <v>195</v>
      </c>
      <c r="E1226">
        <f>WEEKNUM(Append321[[#This Row],[Date]])</f>
        <v>31</v>
      </c>
    </row>
    <row r="1227" spans="1:5">
      <c r="A1227" t="s">
        <v>110</v>
      </c>
      <c r="B1227" t="s">
        <v>96</v>
      </c>
      <c r="C1227" s="5">
        <v>45506</v>
      </c>
      <c r="D1227">
        <v>238</v>
      </c>
      <c r="E1227">
        <f>WEEKNUM(Append321[[#This Row],[Date]])</f>
        <v>31</v>
      </c>
    </row>
    <row r="1228" spans="1:5">
      <c r="A1228" t="s">
        <v>110</v>
      </c>
      <c r="B1228" t="s">
        <v>96</v>
      </c>
      <c r="C1228" s="5">
        <v>45507</v>
      </c>
      <c r="D1228">
        <v>221</v>
      </c>
      <c r="E1228">
        <f>WEEKNUM(Append321[[#This Row],[Date]])</f>
        <v>31</v>
      </c>
    </row>
    <row r="1229" spans="1:5">
      <c r="A1229" t="s">
        <v>110</v>
      </c>
      <c r="B1229" t="s">
        <v>96</v>
      </c>
      <c r="C1229" s="5">
        <v>45508</v>
      </c>
      <c r="D1229">
        <v>210</v>
      </c>
      <c r="E1229">
        <f>WEEKNUM(Append321[[#This Row],[Date]])</f>
        <v>32</v>
      </c>
    </row>
    <row r="1230" spans="1:5">
      <c r="A1230" t="s">
        <v>110</v>
      </c>
      <c r="B1230" t="s">
        <v>96</v>
      </c>
      <c r="C1230" s="5">
        <v>45509</v>
      </c>
      <c r="D1230">
        <v>215</v>
      </c>
      <c r="E1230">
        <f>WEEKNUM(Append321[[#This Row],[Date]])</f>
        <v>32</v>
      </c>
    </row>
    <row r="1231" spans="1:5">
      <c r="A1231" t="s">
        <v>110</v>
      </c>
      <c r="B1231" t="s">
        <v>96</v>
      </c>
      <c r="C1231" s="5">
        <v>45510</v>
      </c>
      <c r="D1231">
        <v>192</v>
      </c>
      <c r="E1231">
        <f>WEEKNUM(Append321[[#This Row],[Date]])</f>
        <v>32</v>
      </c>
    </row>
    <row r="1232" spans="1:5">
      <c r="A1232" t="s">
        <v>110</v>
      </c>
      <c r="B1232" t="s">
        <v>96</v>
      </c>
      <c r="C1232" s="5">
        <v>45511</v>
      </c>
      <c r="D1232">
        <v>209</v>
      </c>
      <c r="E1232">
        <f>WEEKNUM(Append321[[#This Row],[Date]])</f>
        <v>32</v>
      </c>
    </row>
    <row r="1233" spans="1:5">
      <c r="A1233" t="s">
        <v>110</v>
      </c>
      <c r="B1233" t="s">
        <v>96</v>
      </c>
      <c r="C1233" s="5">
        <v>45512</v>
      </c>
      <c r="D1233">
        <v>175</v>
      </c>
      <c r="E1233">
        <f>WEEKNUM(Append321[[#This Row],[Date]])</f>
        <v>32</v>
      </c>
    </row>
    <row r="1234" spans="1:5">
      <c r="A1234" t="s">
        <v>110</v>
      </c>
      <c r="B1234" t="s">
        <v>96</v>
      </c>
      <c r="C1234" s="5">
        <v>45513</v>
      </c>
      <c r="D1234">
        <v>161</v>
      </c>
      <c r="E1234">
        <f>WEEKNUM(Append321[[#This Row],[Date]])</f>
        <v>32</v>
      </c>
    </row>
    <row r="1235" spans="1:5">
      <c r="A1235" t="s">
        <v>110</v>
      </c>
      <c r="B1235" t="s">
        <v>96</v>
      </c>
      <c r="C1235" s="5">
        <v>45514</v>
      </c>
      <c r="D1235">
        <v>184</v>
      </c>
      <c r="E1235">
        <f>WEEKNUM(Append321[[#This Row],[Date]])</f>
        <v>32</v>
      </c>
    </row>
    <row r="1236" spans="1:5">
      <c r="A1236" t="s">
        <v>110</v>
      </c>
      <c r="B1236" t="s">
        <v>96</v>
      </c>
      <c r="C1236" s="5">
        <v>45515</v>
      </c>
      <c r="D1236">
        <v>169</v>
      </c>
      <c r="E1236">
        <f>WEEKNUM(Append321[[#This Row],[Date]])</f>
        <v>33</v>
      </c>
    </row>
    <row r="1237" spans="1:5">
      <c r="A1237" t="s">
        <v>110</v>
      </c>
      <c r="B1237" t="s">
        <v>96</v>
      </c>
      <c r="C1237" s="5">
        <v>45516</v>
      </c>
      <c r="D1237">
        <v>183</v>
      </c>
      <c r="E1237">
        <f>WEEKNUM(Append321[[#This Row],[Date]])</f>
        <v>33</v>
      </c>
    </row>
    <row r="1238" spans="1:5">
      <c r="A1238" t="s">
        <v>110</v>
      </c>
      <c r="B1238" t="s">
        <v>96</v>
      </c>
      <c r="C1238" s="5">
        <v>45517</v>
      </c>
      <c r="D1238">
        <v>199</v>
      </c>
      <c r="E1238">
        <f>WEEKNUM(Append321[[#This Row],[Date]])</f>
        <v>33</v>
      </c>
    </row>
    <row r="1239" spans="1:5">
      <c r="A1239" t="s">
        <v>110</v>
      </c>
      <c r="B1239" t="s">
        <v>96</v>
      </c>
      <c r="C1239" s="5">
        <v>45518</v>
      </c>
      <c r="D1239">
        <v>301</v>
      </c>
      <c r="E1239">
        <f>WEEKNUM(Append321[[#This Row],[Date]])</f>
        <v>33</v>
      </c>
    </row>
    <row r="1240" spans="1:5">
      <c r="A1240" t="s">
        <v>110</v>
      </c>
      <c r="B1240" t="s">
        <v>96</v>
      </c>
      <c r="C1240" s="5">
        <v>45519</v>
      </c>
      <c r="D1240">
        <v>349</v>
      </c>
      <c r="E1240">
        <f>WEEKNUM(Append321[[#This Row],[Date]])</f>
        <v>33</v>
      </c>
    </row>
    <row r="1241" spans="1:5">
      <c r="A1241" t="s">
        <v>110</v>
      </c>
      <c r="B1241" t="s">
        <v>96</v>
      </c>
      <c r="C1241" s="5">
        <v>45520</v>
      </c>
      <c r="D1241">
        <v>194</v>
      </c>
      <c r="E1241">
        <f>WEEKNUM(Append321[[#This Row],[Date]])</f>
        <v>33</v>
      </c>
    </row>
    <row r="1242" spans="1:5">
      <c r="A1242" t="s">
        <v>110</v>
      </c>
      <c r="B1242" t="s">
        <v>96</v>
      </c>
      <c r="C1242" s="5">
        <v>45521</v>
      </c>
      <c r="D1242">
        <v>253</v>
      </c>
      <c r="E1242">
        <f>WEEKNUM(Append321[[#This Row],[Date]])</f>
        <v>33</v>
      </c>
    </row>
    <row r="1243" spans="1:5">
      <c r="A1243" t="s">
        <v>110</v>
      </c>
      <c r="B1243" t="s">
        <v>96</v>
      </c>
      <c r="C1243" s="5">
        <v>45522</v>
      </c>
      <c r="D1243">
        <v>207</v>
      </c>
      <c r="E1243">
        <f>WEEKNUM(Append321[[#This Row],[Date]])</f>
        <v>34</v>
      </c>
    </row>
    <row r="1244" spans="1:5">
      <c r="A1244" t="s">
        <v>110</v>
      </c>
      <c r="B1244" t="s">
        <v>96</v>
      </c>
      <c r="C1244" s="5">
        <v>45523</v>
      </c>
      <c r="D1244">
        <v>235</v>
      </c>
      <c r="E1244">
        <f>WEEKNUM(Append321[[#This Row],[Date]])</f>
        <v>34</v>
      </c>
    </row>
    <row r="1245" spans="1:5">
      <c r="A1245" t="s">
        <v>110</v>
      </c>
      <c r="B1245" t="s">
        <v>96</v>
      </c>
      <c r="C1245" s="5">
        <v>45524</v>
      </c>
      <c r="D1245">
        <v>261</v>
      </c>
      <c r="E1245">
        <f>WEEKNUM(Append321[[#This Row],[Date]])</f>
        <v>34</v>
      </c>
    </row>
    <row r="1246" spans="1:5">
      <c r="A1246" t="s">
        <v>110</v>
      </c>
      <c r="B1246" t="s">
        <v>96</v>
      </c>
      <c r="C1246" s="5">
        <v>45525</v>
      </c>
      <c r="D1246">
        <v>219</v>
      </c>
      <c r="E1246">
        <f>WEEKNUM(Append321[[#This Row],[Date]])</f>
        <v>34</v>
      </c>
    </row>
    <row r="1247" spans="1:5">
      <c r="A1247" t="s">
        <v>110</v>
      </c>
      <c r="B1247" t="s">
        <v>96</v>
      </c>
      <c r="C1247" s="5">
        <v>45526</v>
      </c>
      <c r="D1247">
        <v>231</v>
      </c>
      <c r="E1247">
        <f>WEEKNUM(Append321[[#This Row],[Date]])</f>
        <v>34</v>
      </c>
    </row>
    <row r="1248" spans="1:5">
      <c r="A1248" t="s">
        <v>110</v>
      </c>
      <c r="B1248" t="s">
        <v>96</v>
      </c>
      <c r="C1248" s="5">
        <v>45527</v>
      </c>
      <c r="D1248">
        <v>222</v>
      </c>
      <c r="E1248">
        <f>WEEKNUM(Append321[[#This Row],[Date]])</f>
        <v>34</v>
      </c>
    </row>
    <row r="1249" spans="1:5">
      <c r="A1249" t="s">
        <v>110</v>
      </c>
      <c r="B1249" t="s">
        <v>96</v>
      </c>
      <c r="C1249" s="5">
        <v>45528</v>
      </c>
      <c r="D1249">
        <v>218</v>
      </c>
      <c r="E1249">
        <f>WEEKNUM(Append321[[#This Row],[Date]])</f>
        <v>34</v>
      </c>
    </row>
    <row r="1250" spans="1:5">
      <c r="A1250" t="s">
        <v>110</v>
      </c>
      <c r="B1250" t="s">
        <v>96</v>
      </c>
      <c r="C1250" s="5">
        <v>45529</v>
      </c>
      <c r="D1250">
        <v>220</v>
      </c>
      <c r="E1250">
        <f>WEEKNUM(Append321[[#This Row],[Date]])</f>
        <v>35</v>
      </c>
    </row>
    <row r="1251" spans="1:5">
      <c r="A1251" t="s">
        <v>110</v>
      </c>
      <c r="B1251" t="s">
        <v>96</v>
      </c>
      <c r="C1251" s="5">
        <v>45530</v>
      </c>
      <c r="D1251">
        <v>231</v>
      </c>
      <c r="E1251">
        <f>WEEKNUM(Append321[[#This Row],[Date]])</f>
        <v>35</v>
      </c>
    </row>
    <row r="1252" spans="1:5">
      <c r="A1252" t="s">
        <v>110</v>
      </c>
      <c r="B1252" t="s">
        <v>96</v>
      </c>
      <c r="C1252" s="5">
        <v>45531</v>
      </c>
      <c r="D1252">
        <v>235</v>
      </c>
      <c r="E1252">
        <f>WEEKNUM(Append321[[#This Row],[Date]])</f>
        <v>35</v>
      </c>
    </row>
    <row r="1253" spans="1:5">
      <c r="A1253" t="s">
        <v>110</v>
      </c>
      <c r="B1253" t="s">
        <v>96</v>
      </c>
      <c r="C1253" s="5">
        <v>45532</v>
      </c>
      <c r="D1253">
        <v>209</v>
      </c>
      <c r="E1253">
        <f>WEEKNUM(Append321[[#This Row],[Date]])</f>
        <v>35</v>
      </c>
    </row>
    <row r="1254" spans="1:5">
      <c r="A1254" t="s">
        <v>110</v>
      </c>
      <c r="B1254" t="s">
        <v>96</v>
      </c>
      <c r="C1254" s="5">
        <v>45533</v>
      </c>
      <c r="D1254">
        <v>259</v>
      </c>
      <c r="E1254">
        <f>WEEKNUM(Append321[[#This Row],[Date]])</f>
        <v>35</v>
      </c>
    </row>
    <row r="1255" spans="1:5">
      <c r="A1255" t="s">
        <v>110</v>
      </c>
      <c r="B1255" t="s">
        <v>96</v>
      </c>
      <c r="C1255" s="5">
        <v>45534</v>
      </c>
      <c r="D1255">
        <v>244</v>
      </c>
      <c r="E1255">
        <f>WEEKNUM(Append321[[#This Row],[Date]])</f>
        <v>35</v>
      </c>
    </row>
    <row r="1256" spans="1:5">
      <c r="A1256" t="s">
        <v>110</v>
      </c>
      <c r="B1256" t="s">
        <v>96</v>
      </c>
      <c r="C1256" s="5">
        <v>45535</v>
      </c>
      <c r="D1256">
        <v>256</v>
      </c>
      <c r="E1256">
        <f>WEEKNUM(Append321[[#This Row],[Date]])</f>
        <v>35</v>
      </c>
    </row>
    <row r="1257" spans="1:5">
      <c r="A1257" t="s">
        <v>110</v>
      </c>
      <c r="B1257" t="s">
        <v>99</v>
      </c>
      <c r="C1257" s="5">
        <v>45444</v>
      </c>
      <c r="D1257">
        <v>17</v>
      </c>
      <c r="E1257">
        <f>WEEKNUM(Append321[[#This Row],[Date]])</f>
        <v>22</v>
      </c>
    </row>
    <row r="1258" spans="1:5">
      <c r="A1258" t="s">
        <v>110</v>
      </c>
      <c r="B1258" t="s">
        <v>99</v>
      </c>
      <c r="C1258" s="5">
        <v>45445</v>
      </c>
      <c r="D1258">
        <v>3</v>
      </c>
      <c r="E1258">
        <f>WEEKNUM(Append321[[#This Row],[Date]])</f>
        <v>23</v>
      </c>
    </row>
    <row r="1259" spans="1:5">
      <c r="A1259" t="s">
        <v>110</v>
      </c>
      <c r="B1259" t="s">
        <v>99</v>
      </c>
      <c r="C1259" s="5">
        <v>45446</v>
      </c>
      <c r="D1259">
        <v>14</v>
      </c>
      <c r="E1259">
        <f>WEEKNUM(Append321[[#This Row],[Date]])</f>
        <v>23</v>
      </c>
    </row>
    <row r="1260" spans="1:5">
      <c r="A1260" t="s">
        <v>110</v>
      </c>
      <c r="B1260" t="s">
        <v>99</v>
      </c>
      <c r="C1260" s="5">
        <v>45447</v>
      </c>
      <c r="D1260">
        <v>12</v>
      </c>
      <c r="E1260">
        <f>WEEKNUM(Append321[[#This Row],[Date]])</f>
        <v>23</v>
      </c>
    </row>
    <row r="1261" spans="1:5">
      <c r="A1261" t="s">
        <v>110</v>
      </c>
      <c r="B1261" t="s">
        <v>99</v>
      </c>
      <c r="C1261" s="5">
        <v>45448</v>
      </c>
      <c r="D1261">
        <v>13</v>
      </c>
      <c r="E1261">
        <f>WEEKNUM(Append321[[#This Row],[Date]])</f>
        <v>23</v>
      </c>
    </row>
    <row r="1262" spans="1:5">
      <c r="A1262" t="s">
        <v>110</v>
      </c>
      <c r="B1262" t="s">
        <v>99</v>
      </c>
      <c r="C1262" s="5">
        <v>45449</v>
      </c>
      <c r="D1262">
        <v>6</v>
      </c>
      <c r="E1262">
        <f>WEEKNUM(Append321[[#This Row],[Date]])</f>
        <v>23</v>
      </c>
    </row>
    <row r="1263" spans="1:5">
      <c r="A1263" t="s">
        <v>110</v>
      </c>
      <c r="B1263" t="s">
        <v>99</v>
      </c>
      <c r="C1263" s="5">
        <v>45450</v>
      </c>
      <c r="D1263">
        <v>12</v>
      </c>
      <c r="E1263">
        <f>WEEKNUM(Append321[[#This Row],[Date]])</f>
        <v>23</v>
      </c>
    </row>
    <row r="1264" spans="1:5">
      <c r="A1264" t="s">
        <v>110</v>
      </c>
      <c r="B1264" t="s">
        <v>99</v>
      </c>
      <c r="C1264" s="5">
        <v>45451</v>
      </c>
      <c r="D1264">
        <v>15</v>
      </c>
      <c r="E1264">
        <f>WEEKNUM(Append321[[#This Row],[Date]])</f>
        <v>23</v>
      </c>
    </row>
    <row r="1265" spans="1:5">
      <c r="A1265" t="s">
        <v>110</v>
      </c>
      <c r="B1265" t="s">
        <v>99</v>
      </c>
      <c r="C1265" s="5">
        <v>45452</v>
      </c>
      <c r="D1265">
        <v>17</v>
      </c>
      <c r="E1265">
        <f>WEEKNUM(Append321[[#This Row],[Date]])</f>
        <v>24</v>
      </c>
    </row>
    <row r="1266" spans="1:5">
      <c r="A1266" t="s">
        <v>110</v>
      </c>
      <c r="B1266" t="s">
        <v>99</v>
      </c>
      <c r="C1266" s="5">
        <v>45453</v>
      </c>
      <c r="D1266">
        <v>9</v>
      </c>
      <c r="E1266">
        <f>WEEKNUM(Append321[[#This Row],[Date]])</f>
        <v>24</v>
      </c>
    </row>
    <row r="1267" spans="1:5">
      <c r="A1267" t="s">
        <v>110</v>
      </c>
      <c r="B1267" t="s">
        <v>99</v>
      </c>
      <c r="C1267" s="5">
        <v>45454</v>
      </c>
      <c r="D1267">
        <v>13</v>
      </c>
      <c r="E1267">
        <f>WEEKNUM(Append321[[#This Row],[Date]])</f>
        <v>24</v>
      </c>
    </row>
    <row r="1268" spans="1:5">
      <c r="A1268" t="s">
        <v>110</v>
      </c>
      <c r="B1268" t="s">
        <v>99</v>
      </c>
      <c r="C1268" s="5">
        <v>45455</v>
      </c>
      <c r="D1268">
        <v>20</v>
      </c>
      <c r="E1268">
        <f>WEEKNUM(Append321[[#This Row],[Date]])</f>
        <v>24</v>
      </c>
    </row>
    <row r="1269" spans="1:5">
      <c r="A1269" t="s">
        <v>110</v>
      </c>
      <c r="B1269" t="s">
        <v>99</v>
      </c>
      <c r="C1269" s="5">
        <v>45456</v>
      </c>
      <c r="D1269">
        <v>13</v>
      </c>
      <c r="E1269">
        <f>WEEKNUM(Append321[[#This Row],[Date]])</f>
        <v>24</v>
      </c>
    </row>
    <row r="1270" spans="1:5">
      <c r="A1270" t="s">
        <v>110</v>
      </c>
      <c r="B1270" t="s">
        <v>99</v>
      </c>
      <c r="C1270" s="5">
        <v>45457</v>
      </c>
      <c r="D1270">
        <v>26</v>
      </c>
      <c r="E1270">
        <f>WEEKNUM(Append321[[#This Row],[Date]])</f>
        <v>24</v>
      </c>
    </row>
    <row r="1271" spans="1:5">
      <c r="A1271" t="s">
        <v>110</v>
      </c>
      <c r="B1271" t="s">
        <v>99</v>
      </c>
      <c r="C1271" s="5">
        <v>45458</v>
      </c>
      <c r="D1271">
        <v>23</v>
      </c>
      <c r="E1271">
        <f>WEEKNUM(Append321[[#This Row],[Date]])</f>
        <v>24</v>
      </c>
    </row>
    <row r="1272" spans="1:5">
      <c r="A1272" t="s">
        <v>110</v>
      </c>
      <c r="B1272" t="s">
        <v>99</v>
      </c>
      <c r="C1272" s="5">
        <v>45459</v>
      </c>
      <c r="D1272">
        <v>16</v>
      </c>
      <c r="E1272">
        <f>WEEKNUM(Append321[[#This Row],[Date]])</f>
        <v>25</v>
      </c>
    </row>
    <row r="1273" spans="1:5">
      <c r="A1273" t="s">
        <v>110</v>
      </c>
      <c r="B1273" t="s">
        <v>99</v>
      </c>
      <c r="C1273" s="5">
        <v>45460</v>
      </c>
      <c r="D1273">
        <v>10</v>
      </c>
      <c r="E1273">
        <f>WEEKNUM(Append321[[#This Row],[Date]])</f>
        <v>25</v>
      </c>
    </row>
    <row r="1274" spans="1:5">
      <c r="A1274" t="s">
        <v>110</v>
      </c>
      <c r="B1274" t="s">
        <v>99</v>
      </c>
      <c r="C1274" s="5">
        <v>45461</v>
      </c>
      <c r="D1274">
        <v>11</v>
      </c>
      <c r="E1274">
        <f>WEEKNUM(Append321[[#This Row],[Date]])</f>
        <v>25</v>
      </c>
    </row>
    <row r="1275" spans="1:5">
      <c r="A1275" t="s">
        <v>110</v>
      </c>
      <c r="B1275" t="s">
        <v>99</v>
      </c>
      <c r="C1275" s="5">
        <v>45462</v>
      </c>
      <c r="D1275">
        <v>4</v>
      </c>
      <c r="E1275">
        <f>WEEKNUM(Append321[[#This Row],[Date]])</f>
        <v>25</v>
      </c>
    </row>
    <row r="1276" spans="1:5">
      <c r="A1276" t="s">
        <v>110</v>
      </c>
      <c r="B1276" t="s">
        <v>99</v>
      </c>
      <c r="C1276" s="5">
        <v>45463</v>
      </c>
      <c r="D1276">
        <v>11</v>
      </c>
      <c r="E1276">
        <f>WEEKNUM(Append321[[#This Row],[Date]])</f>
        <v>25</v>
      </c>
    </row>
    <row r="1277" spans="1:5">
      <c r="A1277" t="s">
        <v>110</v>
      </c>
      <c r="B1277" t="s">
        <v>99</v>
      </c>
      <c r="C1277" s="5">
        <v>45464</v>
      </c>
      <c r="D1277">
        <v>14</v>
      </c>
      <c r="E1277">
        <f>WEEKNUM(Append321[[#This Row],[Date]])</f>
        <v>25</v>
      </c>
    </row>
    <row r="1278" spans="1:5">
      <c r="A1278" t="s">
        <v>110</v>
      </c>
      <c r="B1278" t="s">
        <v>99</v>
      </c>
      <c r="C1278" s="5">
        <v>45465</v>
      </c>
      <c r="D1278">
        <v>10</v>
      </c>
      <c r="E1278">
        <f>WEEKNUM(Append321[[#This Row],[Date]])</f>
        <v>25</v>
      </c>
    </row>
    <row r="1279" spans="1:5">
      <c r="A1279" t="s">
        <v>110</v>
      </c>
      <c r="B1279" t="s">
        <v>99</v>
      </c>
      <c r="C1279" s="5">
        <v>45466</v>
      </c>
      <c r="D1279">
        <v>8</v>
      </c>
      <c r="E1279">
        <f>WEEKNUM(Append321[[#This Row],[Date]])</f>
        <v>26</v>
      </c>
    </row>
    <row r="1280" spans="1:5">
      <c r="A1280" t="s">
        <v>110</v>
      </c>
      <c r="B1280" t="s">
        <v>99</v>
      </c>
      <c r="C1280" s="5">
        <v>45467</v>
      </c>
      <c r="D1280">
        <v>12</v>
      </c>
      <c r="E1280">
        <f>WEEKNUM(Append321[[#This Row],[Date]])</f>
        <v>26</v>
      </c>
    </row>
    <row r="1281" spans="1:5">
      <c r="A1281" t="s">
        <v>110</v>
      </c>
      <c r="B1281" t="s">
        <v>99</v>
      </c>
      <c r="C1281" s="5">
        <v>45468</v>
      </c>
      <c r="D1281">
        <v>8</v>
      </c>
      <c r="E1281">
        <f>WEEKNUM(Append321[[#This Row],[Date]])</f>
        <v>26</v>
      </c>
    </row>
    <row r="1282" spans="1:5">
      <c r="A1282" t="s">
        <v>110</v>
      </c>
      <c r="B1282" t="s">
        <v>99</v>
      </c>
      <c r="C1282" s="5">
        <v>45469</v>
      </c>
      <c r="D1282">
        <v>14</v>
      </c>
      <c r="E1282">
        <f>WEEKNUM(Append321[[#This Row],[Date]])</f>
        <v>26</v>
      </c>
    </row>
    <row r="1283" spans="1:5">
      <c r="A1283" t="s">
        <v>110</v>
      </c>
      <c r="B1283" t="s">
        <v>99</v>
      </c>
      <c r="C1283" s="5">
        <v>45470</v>
      </c>
      <c r="D1283">
        <v>8</v>
      </c>
      <c r="E1283">
        <f>WEEKNUM(Append321[[#This Row],[Date]])</f>
        <v>26</v>
      </c>
    </row>
    <row r="1284" spans="1:5">
      <c r="A1284" t="s">
        <v>110</v>
      </c>
      <c r="B1284" t="s">
        <v>99</v>
      </c>
      <c r="C1284" s="5">
        <v>45471</v>
      </c>
      <c r="D1284">
        <v>10</v>
      </c>
      <c r="E1284">
        <f>WEEKNUM(Append321[[#This Row],[Date]])</f>
        <v>26</v>
      </c>
    </row>
    <row r="1285" spans="1:5">
      <c r="A1285" t="s">
        <v>110</v>
      </c>
      <c r="B1285" t="s">
        <v>99</v>
      </c>
      <c r="C1285" s="5">
        <v>45472</v>
      </c>
      <c r="D1285">
        <v>10</v>
      </c>
      <c r="E1285">
        <f>WEEKNUM(Append321[[#This Row],[Date]])</f>
        <v>26</v>
      </c>
    </row>
    <row r="1286" spans="1:5">
      <c r="A1286" t="s">
        <v>110</v>
      </c>
      <c r="B1286" t="s">
        <v>99</v>
      </c>
      <c r="C1286" s="5">
        <v>45473</v>
      </c>
      <c r="D1286">
        <v>6</v>
      </c>
      <c r="E1286">
        <f>WEEKNUM(Append321[[#This Row],[Date]])</f>
        <v>27</v>
      </c>
    </row>
    <row r="1287" spans="1:5">
      <c r="A1287" t="s">
        <v>110</v>
      </c>
      <c r="B1287" t="s">
        <v>99</v>
      </c>
      <c r="C1287" s="5">
        <v>45474</v>
      </c>
      <c r="D1287">
        <v>11</v>
      </c>
      <c r="E1287">
        <f>WEEKNUM(Append321[[#This Row],[Date]])</f>
        <v>27</v>
      </c>
    </row>
    <row r="1288" spans="1:5">
      <c r="A1288" t="s">
        <v>110</v>
      </c>
      <c r="B1288" t="s">
        <v>99</v>
      </c>
      <c r="C1288" s="5">
        <v>45475</v>
      </c>
      <c r="D1288">
        <v>14</v>
      </c>
      <c r="E1288">
        <f>WEEKNUM(Append321[[#This Row],[Date]])</f>
        <v>27</v>
      </c>
    </row>
    <row r="1289" spans="1:5">
      <c r="A1289" t="s">
        <v>110</v>
      </c>
      <c r="B1289" t="s">
        <v>99</v>
      </c>
      <c r="C1289" s="5">
        <v>45476</v>
      </c>
      <c r="D1289">
        <v>17</v>
      </c>
      <c r="E1289">
        <f>WEEKNUM(Append321[[#This Row],[Date]])</f>
        <v>27</v>
      </c>
    </row>
    <row r="1290" spans="1:5">
      <c r="A1290" t="s">
        <v>110</v>
      </c>
      <c r="B1290" t="s">
        <v>99</v>
      </c>
      <c r="C1290" s="5">
        <v>45477</v>
      </c>
      <c r="D1290">
        <v>23</v>
      </c>
      <c r="E1290">
        <f>WEEKNUM(Append321[[#This Row],[Date]])</f>
        <v>27</v>
      </c>
    </row>
    <row r="1291" spans="1:5">
      <c r="A1291" t="s">
        <v>110</v>
      </c>
      <c r="B1291" t="s">
        <v>99</v>
      </c>
      <c r="C1291" s="5">
        <v>45478</v>
      </c>
      <c r="D1291">
        <v>27</v>
      </c>
      <c r="E1291">
        <f>WEEKNUM(Append321[[#This Row],[Date]])</f>
        <v>27</v>
      </c>
    </row>
    <row r="1292" spans="1:5">
      <c r="A1292" t="s">
        <v>110</v>
      </c>
      <c r="B1292" t="s">
        <v>99</v>
      </c>
      <c r="C1292" s="5">
        <v>45479</v>
      </c>
      <c r="D1292">
        <v>27</v>
      </c>
      <c r="E1292">
        <f>WEEKNUM(Append321[[#This Row],[Date]])</f>
        <v>27</v>
      </c>
    </row>
    <row r="1293" spans="1:5">
      <c r="A1293" t="s">
        <v>110</v>
      </c>
      <c r="B1293" t="s">
        <v>99</v>
      </c>
      <c r="C1293" s="5">
        <v>45480</v>
      </c>
      <c r="D1293">
        <v>19</v>
      </c>
      <c r="E1293">
        <f>WEEKNUM(Append321[[#This Row],[Date]])</f>
        <v>28</v>
      </c>
    </row>
    <row r="1294" spans="1:5">
      <c r="A1294" t="s">
        <v>110</v>
      </c>
      <c r="B1294" t="s">
        <v>99</v>
      </c>
      <c r="C1294" s="5">
        <v>45481</v>
      </c>
      <c r="D1294">
        <v>26</v>
      </c>
      <c r="E1294">
        <f>WEEKNUM(Append321[[#This Row],[Date]])</f>
        <v>28</v>
      </c>
    </row>
    <row r="1295" spans="1:5">
      <c r="A1295" t="s">
        <v>110</v>
      </c>
      <c r="B1295" t="s">
        <v>99</v>
      </c>
      <c r="C1295" s="5">
        <v>45482</v>
      </c>
      <c r="D1295">
        <v>22</v>
      </c>
      <c r="E1295">
        <f>WEEKNUM(Append321[[#This Row],[Date]])</f>
        <v>28</v>
      </c>
    </row>
    <row r="1296" spans="1:5">
      <c r="A1296" t="s">
        <v>110</v>
      </c>
      <c r="B1296" t="s">
        <v>99</v>
      </c>
      <c r="C1296" s="5">
        <v>45483</v>
      </c>
      <c r="D1296">
        <v>18</v>
      </c>
      <c r="E1296">
        <f>WEEKNUM(Append321[[#This Row],[Date]])</f>
        <v>28</v>
      </c>
    </row>
    <row r="1297" spans="1:5">
      <c r="A1297" t="s">
        <v>110</v>
      </c>
      <c r="B1297" t="s">
        <v>99</v>
      </c>
      <c r="C1297" s="5">
        <v>45484</v>
      </c>
      <c r="D1297">
        <v>22</v>
      </c>
      <c r="E1297">
        <f>WEEKNUM(Append321[[#This Row],[Date]])</f>
        <v>28</v>
      </c>
    </row>
    <row r="1298" spans="1:5">
      <c r="A1298" t="s">
        <v>110</v>
      </c>
      <c r="B1298" t="s">
        <v>99</v>
      </c>
      <c r="C1298" s="5">
        <v>45485</v>
      </c>
      <c r="D1298">
        <v>25</v>
      </c>
      <c r="E1298">
        <f>WEEKNUM(Append321[[#This Row],[Date]])</f>
        <v>28</v>
      </c>
    </row>
    <row r="1299" spans="1:5">
      <c r="A1299" t="s">
        <v>110</v>
      </c>
      <c r="B1299" t="s">
        <v>99</v>
      </c>
      <c r="C1299" s="5">
        <v>45486</v>
      </c>
      <c r="D1299">
        <v>23</v>
      </c>
      <c r="E1299">
        <f>WEEKNUM(Append321[[#This Row],[Date]])</f>
        <v>28</v>
      </c>
    </row>
    <row r="1300" spans="1:5">
      <c r="A1300" t="s">
        <v>110</v>
      </c>
      <c r="B1300" t="s">
        <v>99</v>
      </c>
      <c r="C1300" s="5">
        <v>45487</v>
      </c>
      <c r="D1300">
        <v>24</v>
      </c>
      <c r="E1300">
        <f>WEEKNUM(Append321[[#This Row],[Date]])</f>
        <v>29</v>
      </c>
    </row>
    <row r="1301" spans="1:5">
      <c r="A1301" t="s">
        <v>110</v>
      </c>
      <c r="B1301" t="s">
        <v>99</v>
      </c>
      <c r="C1301" s="5">
        <v>45488</v>
      </c>
      <c r="D1301">
        <v>23</v>
      </c>
      <c r="E1301">
        <f>WEEKNUM(Append321[[#This Row],[Date]])</f>
        <v>29</v>
      </c>
    </row>
    <row r="1302" spans="1:5">
      <c r="A1302" t="s">
        <v>110</v>
      </c>
      <c r="B1302" t="s">
        <v>99</v>
      </c>
      <c r="C1302" s="5">
        <v>45489</v>
      </c>
      <c r="D1302">
        <v>18</v>
      </c>
      <c r="E1302">
        <f>WEEKNUM(Append321[[#This Row],[Date]])</f>
        <v>29</v>
      </c>
    </row>
    <row r="1303" spans="1:5">
      <c r="A1303" t="s">
        <v>110</v>
      </c>
      <c r="B1303" t="s">
        <v>99</v>
      </c>
      <c r="C1303" s="5">
        <v>45490</v>
      </c>
      <c r="D1303">
        <v>23</v>
      </c>
      <c r="E1303">
        <f>WEEKNUM(Append321[[#This Row],[Date]])</f>
        <v>29</v>
      </c>
    </row>
    <row r="1304" spans="1:5">
      <c r="A1304" t="s">
        <v>110</v>
      </c>
      <c r="B1304" t="s">
        <v>99</v>
      </c>
      <c r="C1304" s="5">
        <v>45491</v>
      </c>
      <c r="D1304">
        <v>21</v>
      </c>
      <c r="E1304">
        <f>WEEKNUM(Append321[[#This Row],[Date]])</f>
        <v>29</v>
      </c>
    </row>
    <row r="1305" spans="1:5">
      <c r="A1305" t="s">
        <v>110</v>
      </c>
      <c r="B1305" t="s">
        <v>99</v>
      </c>
      <c r="C1305" s="5">
        <v>45492</v>
      </c>
      <c r="D1305">
        <v>29</v>
      </c>
      <c r="E1305">
        <f>WEEKNUM(Append321[[#This Row],[Date]])</f>
        <v>29</v>
      </c>
    </row>
    <row r="1306" spans="1:5">
      <c r="A1306" t="s">
        <v>110</v>
      </c>
      <c r="B1306" t="s">
        <v>99</v>
      </c>
      <c r="C1306" s="5">
        <v>45493</v>
      </c>
      <c r="D1306">
        <v>40</v>
      </c>
      <c r="E1306">
        <f>WEEKNUM(Append321[[#This Row],[Date]])</f>
        <v>29</v>
      </c>
    </row>
    <row r="1307" spans="1:5">
      <c r="A1307" t="s">
        <v>110</v>
      </c>
      <c r="B1307" t="s">
        <v>99</v>
      </c>
      <c r="C1307" s="5">
        <v>45494</v>
      </c>
      <c r="D1307">
        <v>20</v>
      </c>
      <c r="E1307">
        <f>WEEKNUM(Append321[[#This Row],[Date]])</f>
        <v>30</v>
      </c>
    </row>
    <row r="1308" spans="1:5">
      <c r="A1308" t="s">
        <v>110</v>
      </c>
      <c r="B1308" t="s">
        <v>99</v>
      </c>
      <c r="C1308" s="5">
        <v>45495</v>
      </c>
      <c r="D1308">
        <v>26</v>
      </c>
      <c r="E1308">
        <f>WEEKNUM(Append321[[#This Row],[Date]])</f>
        <v>30</v>
      </c>
    </row>
    <row r="1309" spans="1:5">
      <c r="A1309" t="s">
        <v>110</v>
      </c>
      <c r="B1309" t="s">
        <v>99</v>
      </c>
      <c r="C1309" s="5">
        <v>45496</v>
      </c>
      <c r="D1309">
        <v>25</v>
      </c>
      <c r="E1309">
        <f>WEEKNUM(Append321[[#This Row],[Date]])</f>
        <v>30</v>
      </c>
    </row>
    <row r="1310" spans="1:5">
      <c r="A1310" t="s">
        <v>110</v>
      </c>
      <c r="B1310" t="s">
        <v>99</v>
      </c>
      <c r="C1310" s="5">
        <v>45497</v>
      </c>
      <c r="D1310">
        <v>15</v>
      </c>
      <c r="E1310">
        <f>WEEKNUM(Append321[[#This Row],[Date]])</f>
        <v>30</v>
      </c>
    </row>
    <row r="1311" spans="1:5">
      <c r="A1311" t="s">
        <v>110</v>
      </c>
      <c r="B1311" t="s">
        <v>99</v>
      </c>
      <c r="C1311" s="5">
        <v>45498</v>
      </c>
      <c r="D1311">
        <v>22</v>
      </c>
      <c r="E1311">
        <f>WEEKNUM(Append321[[#This Row],[Date]])</f>
        <v>30</v>
      </c>
    </row>
    <row r="1312" spans="1:5">
      <c r="A1312" t="s">
        <v>110</v>
      </c>
      <c r="B1312" t="s">
        <v>99</v>
      </c>
      <c r="C1312" s="5">
        <v>45499</v>
      </c>
      <c r="D1312">
        <v>30</v>
      </c>
      <c r="E1312">
        <f>WEEKNUM(Append321[[#This Row],[Date]])</f>
        <v>30</v>
      </c>
    </row>
    <row r="1313" spans="1:5">
      <c r="A1313" t="s">
        <v>110</v>
      </c>
      <c r="B1313" t="s">
        <v>99</v>
      </c>
      <c r="C1313" s="5">
        <v>45500</v>
      </c>
      <c r="D1313">
        <v>38</v>
      </c>
      <c r="E1313">
        <f>WEEKNUM(Append321[[#This Row],[Date]])</f>
        <v>30</v>
      </c>
    </row>
    <row r="1314" spans="1:5">
      <c r="A1314" t="s">
        <v>110</v>
      </c>
      <c r="B1314" t="s">
        <v>99</v>
      </c>
      <c r="C1314" s="5">
        <v>45501</v>
      </c>
      <c r="D1314">
        <v>22</v>
      </c>
      <c r="E1314">
        <f>WEEKNUM(Append321[[#This Row],[Date]])</f>
        <v>31</v>
      </c>
    </row>
    <row r="1315" spans="1:5">
      <c r="A1315" t="s">
        <v>110</v>
      </c>
      <c r="B1315" t="s">
        <v>99</v>
      </c>
      <c r="C1315" s="5">
        <v>45502</v>
      </c>
      <c r="D1315">
        <v>31</v>
      </c>
      <c r="E1315">
        <f>WEEKNUM(Append321[[#This Row],[Date]])</f>
        <v>31</v>
      </c>
    </row>
    <row r="1316" spans="1:5">
      <c r="A1316" t="s">
        <v>110</v>
      </c>
      <c r="B1316" t="s">
        <v>99</v>
      </c>
      <c r="C1316" s="5">
        <v>45503</v>
      </c>
      <c r="D1316">
        <v>40</v>
      </c>
      <c r="E1316">
        <f>WEEKNUM(Append321[[#This Row],[Date]])</f>
        <v>31</v>
      </c>
    </row>
    <row r="1317" spans="1:5">
      <c r="A1317" t="s">
        <v>110</v>
      </c>
      <c r="B1317" t="s">
        <v>99</v>
      </c>
      <c r="C1317" s="5">
        <v>45504</v>
      </c>
      <c r="D1317">
        <v>25</v>
      </c>
      <c r="E1317">
        <f>WEEKNUM(Append321[[#This Row],[Date]])</f>
        <v>31</v>
      </c>
    </row>
    <row r="1318" spans="1:5">
      <c r="A1318" t="s">
        <v>110</v>
      </c>
      <c r="B1318" t="s">
        <v>99</v>
      </c>
      <c r="C1318" s="5">
        <v>45505</v>
      </c>
      <c r="D1318">
        <v>33</v>
      </c>
      <c r="E1318">
        <f>WEEKNUM(Append321[[#This Row],[Date]])</f>
        <v>31</v>
      </c>
    </row>
    <row r="1319" spans="1:5">
      <c r="A1319" t="s">
        <v>110</v>
      </c>
      <c r="B1319" t="s">
        <v>99</v>
      </c>
      <c r="C1319" s="5">
        <v>45506</v>
      </c>
      <c r="D1319">
        <v>36</v>
      </c>
      <c r="E1319">
        <f>WEEKNUM(Append321[[#This Row],[Date]])</f>
        <v>31</v>
      </c>
    </row>
    <row r="1320" spans="1:5">
      <c r="A1320" t="s">
        <v>110</v>
      </c>
      <c r="B1320" t="s">
        <v>99</v>
      </c>
      <c r="C1320" s="5">
        <v>45507</v>
      </c>
      <c r="D1320">
        <v>47</v>
      </c>
      <c r="E1320">
        <f>WEEKNUM(Append321[[#This Row],[Date]])</f>
        <v>31</v>
      </c>
    </row>
    <row r="1321" spans="1:5">
      <c r="A1321" t="s">
        <v>110</v>
      </c>
      <c r="B1321" t="s">
        <v>99</v>
      </c>
      <c r="C1321" s="5">
        <v>45508</v>
      </c>
      <c r="D1321">
        <v>28</v>
      </c>
      <c r="E1321">
        <f>WEEKNUM(Append321[[#This Row],[Date]])</f>
        <v>32</v>
      </c>
    </row>
    <row r="1322" spans="1:5">
      <c r="A1322" t="s">
        <v>110</v>
      </c>
      <c r="B1322" t="s">
        <v>99</v>
      </c>
      <c r="C1322" s="5">
        <v>45509</v>
      </c>
      <c r="D1322">
        <v>38</v>
      </c>
      <c r="E1322">
        <f>WEEKNUM(Append321[[#This Row],[Date]])</f>
        <v>32</v>
      </c>
    </row>
    <row r="1323" spans="1:5">
      <c r="A1323" t="s">
        <v>110</v>
      </c>
      <c r="B1323" t="s">
        <v>99</v>
      </c>
      <c r="C1323" s="5">
        <v>45510</v>
      </c>
      <c r="D1323">
        <v>26</v>
      </c>
      <c r="E1323">
        <f>WEEKNUM(Append321[[#This Row],[Date]])</f>
        <v>32</v>
      </c>
    </row>
    <row r="1324" spans="1:5">
      <c r="A1324" t="s">
        <v>110</v>
      </c>
      <c r="B1324" t="s">
        <v>99</v>
      </c>
      <c r="C1324" s="5">
        <v>45511</v>
      </c>
      <c r="D1324">
        <v>35</v>
      </c>
      <c r="E1324">
        <f>WEEKNUM(Append321[[#This Row],[Date]])</f>
        <v>32</v>
      </c>
    </row>
    <row r="1325" spans="1:5">
      <c r="A1325" t="s">
        <v>110</v>
      </c>
      <c r="B1325" t="s">
        <v>99</v>
      </c>
      <c r="C1325" s="5">
        <v>45512</v>
      </c>
      <c r="D1325">
        <v>35</v>
      </c>
      <c r="E1325">
        <f>WEEKNUM(Append321[[#This Row],[Date]])</f>
        <v>32</v>
      </c>
    </row>
    <row r="1326" spans="1:5">
      <c r="A1326" t="s">
        <v>110</v>
      </c>
      <c r="B1326" t="s">
        <v>99</v>
      </c>
      <c r="C1326" s="5">
        <v>45513</v>
      </c>
      <c r="D1326">
        <v>27</v>
      </c>
      <c r="E1326">
        <f>WEEKNUM(Append321[[#This Row],[Date]])</f>
        <v>32</v>
      </c>
    </row>
    <row r="1327" spans="1:5">
      <c r="A1327" t="s">
        <v>110</v>
      </c>
      <c r="B1327" t="s">
        <v>99</v>
      </c>
      <c r="C1327" s="5">
        <v>45514</v>
      </c>
      <c r="D1327">
        <v>38</v>
      </c>
      <c r="E1327">
        <f>WEEKNUM(Append321[[#This Row],[Date]])</f>
        <v>32</v>
      </c>
    </row>
    <row r="1328" spans="1:5">
      <c r="A1328" t="s">
        <v>110</v>
      </c>
      <c r="B1328" t="s">
        <v>99</v>
      </c>
      <c r="C1328" s="5">
        <v>45515</v>
      </c>
      <c r="D1328">
        <v>35</v>
      </c>
      <c r="E1328">
        <f>WEEKNUM(Append321[[#This Row],[Date]])</f>
        <v>33</v>
      </c>
    </row>
    <row r="1329" spans="1:5">
      <c r="A1329" t="s">
        <v>110</v>
      </c>
      <c r="B1329" t="s">
        <v>99</v>
      </c>
      <c r="C1329" s="5">
        <v>45516</v>
      </c>
      <c r="D1329">
        <v>29</v>
      </c>
      <c r="E1329">
        <f>WEEKNUM(Append321[[#This Row],[Date]])</f>
        <v>33</v>
      </c>
    </row>
    <row r="1330" spans="1:5">
      <c r="A1330" t="s">
        <v>110</v>
      </c>
      <c r="B1330" t="s">
        <v>99</v>
      </c>
      <c r="C1330" s="5">
        <v>45517</v>
      </c>
      <c r="D1330">
        <v>26</v>
      </c>
      <c r="E1330">
        <f>WEEKNUM(Append321[[#This Row],[Date]])</f>
        <v>33</v>
      </c>
    </row>
    <row r="1331" spans="1:5">
      <c r="A1331" t="s">
        <v>110</v>
      </c>
      <c r="B1331" t="s">
        <v>99</v>
      </c>
      <c r="C1331" s="5">
        <v>45518</v>
      </c>
      <c r="D1331">
        <v>27</v>
      </c>
      <c r="E1331">
        <f>WEEKNUM(Append321[[#This Row],[Date]])</f>
        <v>33</v>
      </c>
    </row>
    <row r="1332" spans="1:5">
      <c r="A1332" t="s">
        <v>110</v>
      </c>
      <c r="B1332" t="s">
        <v>99</v>
      </c>
      <c r="C1332" s="5">
        <v>45519</v>
      </c>
      <c r="D1332">
        <v>30</v>
      </c>
      <c r="E1332">
        <f>WEEKNUM(Append321[[#This Row],[Date]])</f>
        <v>33</v>
      </c>
    </row>
    <row r="1333" spans="1:5">
      <c r="A1333" t="s">
        <v>110</v>
      </c>
      <c r="B1333" t="s">
        <v>99</v>
      </c>
      <c r="C1333" s="5">
        <v>45520</v>
      </c>
      <c r="D1333">
        <v>32</v>
      </c>
      <c r="E1333">
        <f>WEEKNUM(Append321[[#This Row],[Date]])</f>
        <v>33</v>
      </c>
    </row>
    <row r="1334" spans="1:5">
      <c r="A1334" t="s">
        <v>110</v>
      </c>
      <c r="B1334" t="s">
        <v>99</v>
      </c>
      <c r="C1334" s="5">
        <v>45521</v>
      </c>
      <c r="D1334">
        <v>24</v>
      </c>
      <c r="E1334">
        <f>WEEKNUM(Append321[[#This Row],[Date]])</f>
        <v>33</v>
      </c>
    </row>
    <row r="1335" spans="1:5">
      <c r="A1335" t="s">
        <v>110</v>
      </c>
      <c r="B1335" t="s">
        <v>99</v>
      </c>
      <c r="C1335" s="5">
        <v>45522</v>
      </c>
      <c r="D1335">
        <v>21</v>
      </c>
      <c r="E1335">
        <f>WEEKNUM(Append321[[#This Row],[Date]])</f>
        <v>34</v>
      </c>
    </row>
    <row r="1336" spans="1:5">
      <c r="A1336" t="s">
        <v>110</v>
      </c>
      <c r="B1336" t="s">
        <v>99</v>
      </c>
      <c r="C1336" s="5">
        <v>45523</v>
      </c>
      <c r="D1336">
        <v>31</v>
      </c>
      <c r="E1336">
        <f>WEEKNUM(Append321[[#This Row],[Date]])</f>
        <v>34</v>
      </c>
    </row>
    <row r="1337" spans="1:5">
      <c r="A1337" t="s">
        <v>110</v>
      </c>
      <c r="B1337" t="s">
        <v>99</v>
      </c>
      <c r="C1337" s="5">
        <v>45524</v>
      </c>
      <c r="D1337">
        <v>31</v>
      </c>
      <c r="E1337">
        <f>WEEKNUM(Append321[[#This Row],[Date]])</f>
        <v>34</v>
      </c>
    </row>
    <row r="1338" spans="1:5">
      <c r="A1338" t="s">
        <v>110</v>
      </c>
      <c r="B1338" t="s">
        <v>99</v>
      </c>
      <c r="C1338" s="5">
        <v>45525</v>
      </c>
      <c r="D1338">
        <v>28</v>
      </c>
      <c r="E1338">
        <f>WEEKNUM(Append321[[#This Row],[Date]])</f>
        <v>34</v>
      </c>
    </row>
    <row r="1339" spans="1:5">
      <c r="A1339" t="s">
        <v>110</v>
      </c>
      <c r="B1339" t="s">
        <v>99</v>
      </c>
      <c r="C1339" s="5">
        <v>45526</v>
      </c>
      <c r="D1339">
        <v>34</v>
      </c>
      <c r="E1339">
        <f>WEEKNUM(Append321[[#This Row],[Date]])</f>
        <v>34</v>
      </c>
    </row>
    <row r="1340" spans="1:5">
      <c r="A1340" t="s">
        <v>110</v>
      </c>
      <c r="B1340" t="s">
        <v>99</v>
      </c>
      <c r="C1340" s="5">
        <v>45527</v>
      </c>
      <c r="D1340">
        <v>35</v>
      </c>
      <c r="E1340">
        <f>WEEKNUM(Append321[[#This Row],[Date]])</f>
        <v>34</v>
      </c>
    </row>
    <row r="1341" spans="1:5">
      <c r="A1341" t="s">
        <v>110</v>
      </c>
      <c r="B1341" t="s">
        <v>99</v>
      </c>
      <c r="C1341" s="5">
        <v>45528</v>
      </c>
      <c r="D1341">
        <v>40</v>
      </c>
      <c r="E1341">
        <f>WEEKNUM(Append321[[#This Row],[Date]])</f>
        <v>34</v>
      </c>
    </row>
    <row r="1342" spans="1:5">
      <c r="A1342" t="s">
        <v>110</v>
      </c>
      <c r="B1342" t="s">
        <v>99</v>
      </c>
      <c r="C1342" s="5">
        <v>45529</v>
      </c>
      <c r="D1342">
        <v>24</v>
      </c>
      <c r="E1342">
        <f>WEEKNUM(Append321[[#This Row],[Date]])</f>
        <v>35</v>
      </c>
    </row>
    <row r="1343" spans="1:5">
      <c r="A1343" t="s">
        <v>110</v>
      </c>
      <c r="B1343" t="s">
        <v>99</v>
      </c>
      <c r="C1343" s="5">
        <v>45530</v>
      </c>
      <c r="D1343">
        <v>33</v>
      </c>
      <c r="E1343">
        <f>WEEKNUM(Append321[[#This Row],[Date]])</f>
        <v>35</v>
      </c>
    </row>
    <row r="1344" spans="1:5">
      <c r="A1344" t="s">
        <v>110</v>
      </c>
      <c r="B1344" t="s">
        <v>99</v>
      </c>
      <c r="C1344" s="5">
        <v>45531</v>
      </c>
      <c r="D1344">
        <v>31</v>
      </c>
      <c r="E1344">
        <f>WEEKNUM(Append321[[#This Row],[Date]])</f>
        <v>35</v>
      </c>
    </row>
    <row r="1345" spans="1:5">
      <c r="A1345" t="s">
        <v>110</v>
      </c>
      <c r="B1345" t="s">
        <v>99</v>
      </c>
      <c r="C1345" s="5">
        <v>45532</v>
      </c>
      <c r="D1345">
        <v>29</v>
      </c>
      <c r="E1345">
        <f>WEEKNUM(Append321[[#This Row],[Date]])</f>
        <v>35</v>
      </c>
    </row>
    <row r="1346" spans="1:5">
      <c r="A1346" t="s">
        <v>110</v>
      </c>
      <c r="B1346" t="s">
        <v>99</v>
      </c>
      <c r="C1346" s="5">
        <v>45533</v>
      </c>
      <c r="D1346">
        <v>29</v>
      </c>
      <c r="E1346">
        <f>WEEKNUM(Append321[[#This Row],[Date]])</f>
        <v>35</v>
      </c>
    </row>
    <row r="1347" spans="1:5">
      <c r="A1347" t="s">
        <v>110</v>
      </c>
      <c r="B1347" t="s">
        <v>99</v>
      </c>
      <c r="C1347" s="5">
        <v>45534</v>
      </c>
      <c r="D1347">
        <v>36</v>
      </c>
      <c r="E1347">
        <f>WEEKNUM(Append321[[#This Row],[Date]])</f>
        <v>35</v>
      </c>
    </row>
    <row r="1348" spans="1:5">
      <c r="A1348" t="s">
        <v>110</v>
      </c>
      <c r="B1348" t="s">
        <v>99</v>
      </c>
      <c r="C1348" s="5">
        <v>45535</v>
      </c>
      <c r="D1348">
        <v>31</v>
      </c>
      <c r="E1348">
        <f>WEEKNUM(Append321[[#This Row],[Date]])</f>
        <v>35</v>
      </c>
    </row>
    <row r="1349" spans="1:5">
      <c r="A1349" t="s">
        <v>110</v>
      </c>
      <c r="B1349" t="s">
        <v>100</v>
      </c>
      <c r="C1349" s="5">
        <v>45444</v>
      </c>
      <c r="D1349">
        <v>9</v>
      </c>
      <c r="E1349">
        <f>WEEKNUM(Append321[[#This Row],[Date]])</f>
        <v>22</v>
      </c>
    </row>
    <row r="1350" spans="1:5">
      <c r="A1350" t="s">
        <v>110</v>
      </c>
      <c r="B1350" t="s">
        <v>100</v>
      </c>
      <c r="C1350" s="5">
        <v>45445</v>
      </c>
      <c r="D1350">
        <v>12</v>
      </c>
      <c r="E1350">
        <f>WEEKNUM(Append321[[#This Row],[Date]])</f>
        <v>23</v>
      </c>
    </row>
    <row r="1351" spans="1:5">
      <c r="A1351" t="s">
        <v>110</v>
      </c>
      <c r="B1351" t="s">
        <v>100</v>
      </c>
      <c r="C1351" s="5">
        <v>45446</v>
      </c>
      <c r="D1351">
        <v>9</v>
      </c>
      <c r="E1351">
        <f>WEEKNUM(Append321[[#This Row],[Date]])</f>
        <v>23</v>
      </c>
    </row>
    <row r="1352" spans="1:5">
      <c r="A1352" t="s">
        <v>110</v>
      </c>
      <c r="B1352" t="s">
        <v>100</v>
      </c>
      <c r="C1352" s="5">
        <v>45447</v>
      </c>
      <c r="D1352">
        <v>5</v>
      </c>
      <c r="E1352">
        <f>WEEKNUM(Append321[[#This Row],[Date]])</f>
        <v>23</v>
      </c>
    </row>
    <row r="1353" spans="1:5">
      <c r="A1353" t="s">
        <v>110</v>
      </c>
      <c r="B1353" t="s">
        <v>100</v>
      </c>
      <c r="C1353" s="5">
        <v>45448</v>
      </c>
      <c r="D1353">
        <v>9</v>
      </c>
      <c r="E1353">
        <f>WEEKNUM(Append321[[#This Row],[Date]])</f>
        <v>23</v>
      </c>
    </row>
    <row r="1354" spans="1:5">
      <c r="A1354" t="s">
        <v>110</v>
      </c>
      <c r="B1354" t="s">
        <v>100</v>
      </c>
      <c r="C1354" s="5">
        <v>45449</v>
      </c>
      <c r="D1354">
        <v>8</v>
      </c>
      <c r="E1354">
        <f>WEEKNUM(Append321[[#This Row],[Date]])</f>
        <v>23</v>
      </c>
    </row>
    <row r="1355" spans="1:5">
      <c r="A1355" t="s">
        <v>110</v>
      </c>
      <c r="B1355" t="s">
        <v>100</v>
      </c>
      <c r="C1355" s="5">
        <v>45450</v>
      </c>
      <c r="D1355">
        <v>7</v>
      </c>
      <c r="E1355">
        <f>WEEKNUM(Append321[[#This Row],[Date]])</f>
        <v>23</v>
      </c>
    </row>
    <row r="1356" spans="1:5">
      <c r="A1356" t="s">
        <v>110</v>
      </c>
      <c r="B1356" t="s">
        <v>100</v>
      </c>
      <c r="C1356" s="5">
        <v>45451</v>
      </c>
      <c r="D1356">
        <v>8</v>
      </c>
      <c r="E1356">
        <f>WEEKNUM(Append321[[#This Row],[Date]])</f>
        <v>23</v>
      </c>
    </row>
    <row r="1357" spans="1:5">
      <c r="A1357" t="s">
        <v>110</v>
      </c>
      <c r="B1357" t="s">
        <v>100</v>
      </c>
      <c r="C1357" s="5">
        <v>45452</v>
      </c>
      <c r="D1357">
        <v>12</v>
      </c>
      <c r="E1357">
        <f>WEEKNUM(Append321[[#This Row],[Date]])</f>
        <v>24</v>
      </c>
    </row>
    <row r="1358" spans="1:5">
      <c r="A1358" t="s">
        <v>110</v>
      </c>
      <c r="B1358" t="s">
        <v>100</v>
      </c>
      <c r="C1358" s="5">
        <v>45453</v>
      </c>
      <c r="D1358">
        <v>6</v>
      </c>
      <c r="E1358">
        <f>WEEKNUM(Append321[[#This Row],[Date]])</f>
        <v>24</v>
      </c>
    </row>
    <row r="1359" spans="1:5">
      <c r="A1359" t="s">
        <v>110</v>
      </c>
      <c r="B1359" t="s">
        <v>100</v>
      </c>
      <c r="C1359" s="5">
        <v>45454</v>
      </c>
      <c r="D1359">
        <v>9</v>
      </c>
      <c r="E1359">
        <f>WEEKNUM(Append321[[#This Row],[Date]])</f>
        <v>24</v>
      </c>
    </row>
    <row r="1360" spans="1:5">
      <c r="A1360" t="s">
        <v>110</v>
      </c>
      <c r="B1360" t="s">
        <v>100</v>
      </c>
      <c r="C1360" s="5">
        <v>45455</v>
      </c>
      <c r="D1360">
        <v>9</v>
      </c>
      <c r="E1360">
        <f>WEEKNUM(Append321[[#This Row],[Date]])</f>
        <v>24</v>
      </c>
    </row>
    <row r="1361" spans="1:5">
      <c r="A1361" t="s">
        <v>110</v>
      </c>
      <c r="B1361" t="s">
        <v>100</v>
      </c>
      <c r="C1361" s="5">
        <v>45456</v>
      </c>
      <c r="D1361">
        <v>7</v>
      </c>
      <c r="E1361">
        <f>WEEKNUM(Append321[[#This Row],[Date]])</f>
        <v>24</v>
      </c>
    </row>
    <row r="1362" spans="1:5">
      <c r="A1362" t="s">
        <v>110</v>
      </c>
      <c r="B1362" t="s">
        <v>100</v>
      </c>
      <c r="C1362" s="5">
        <v>45457</v>
      </c>
      <c r="D1362">
        <v>10</v>
      </c>
      <c r="E1362">
        <f>WEEKNUM(Append321[[#This Row],[Date]])</f>
        <v>24</v>
      </c>
    </row>
    <row r="1363" spans="1:5">
      <c r="A1363" t="s">
        <v>110</v>
      </c>
      <c r="B1363" t="s">
        <v>100</v>
      </c>
      <c r="C1363" s="5">
        <v>45458</v>
      </c>
      <c r="D1363">
        <v>10</v>
      </c>
      <c r="E1363">
        <f>WEEKNUM(Append321[[#This Row],[Date]])</f>
        <v>24</v>
      </c>
    </row>
    <row r="1364" spans="1:5">
      <c r="A1364" t="s">
        <v>110</v>
      </c>
      <c r="B1364" t="s">
        <v>100</v>
      </c>
      <c r="C1364" s="5">
        <v>45459</v>
      </c>
      <c r="D1364">
        <v>6</v>
      </c>
      <c r="E1364">
        <f>WEEKNUM(Append321[[#This Row],[Date]])</f>
        <v>25</v>
      </c>
    </row>
    <row r="1365" spans="1:5">
      <c r="A1365" t="s">
        <v>110</v>
      </c>
      <c r="B1365" t="s">
        <v>100</v>
      </c>
      <c r="C1365" s="5">
        <v>45460</v>
      </c>
      <c r="D1365">
        <v>6</v>
      </c>
      <c r="E1365">
        <f>WEEKNUM(Append321[[#This Row],[Date]])</f>
        <v>25</v>
      </c>
    </row>
    <row r="1366" spans="1:5">
      <c r="A1366" t="s">
        <v>110</v>
      </c>
      <c r="B1366" t="s">
        <v>100</v>
      </c>
      <c r="C1366" s="5">
        <v>45461</v>
      </c>
      <c r="D1366">
        <v>3</v>
      </c>
      <c r="E1366">
        <f>WEEKNUM(Append321[[#This Row],[Date]])</f>
        <v>25</v>
      </c>
    </row>
    <row r="1367" spans="1:5">
      <c r="A1367" t="s">
        <v>110</v>
      </c>
      <c r="B1367" t="s">
        <v>100</v>
      </c>
      <c r="C1367" s="5">
        <v>45462</v>
      </c>
      <c r="D1367">
        <v>9</v>
      </c>
      <c r="E1367">
        <f>WEEKNUM(Append321[[#This Row],[Date]])</f>
        <v>25</v>
      </c>
    </row>
    <row r="1368" spans="1:5">
      <c r="A1368" t="s">
        <v>110</v>
      </c>
      <c r="B1368" t="s">
        <v>100</v>
      </c>
      <c r="C1368" s="5">
        <v>45463</v>
      </c>
      <c r="D1368">
        <v>5</v>
      </c>
      <c r="E1368">
        <f>WEEKNUM(Append321[[#This Row],[Date]])</f>
        <v>25</v>
      </c>
    </row>
    <row r="1369" spans="1:5">
      <c r="A1369" t="s">
        <v>110</v>
      </c>
      <c r="B1369" t="s">
        <v>100</v>
      </c>
      <c r="C1369" s="5">
        <v>45464</v>
      </c>
      <c r="D1369">
        <v>7</v>
      </c>
      <c r="E1369">
        <f>WEEKNUM(Append321[[#This Row],[Date]])</f>
        <v>25</v>
      </c>
    </row>
    <row r="1370" spans="1:5">
      <c r="A1370" t="s">
        <v>110</v>
      </c>
      <c r="B1370" t="s">
        <v>100</v>
      </c>
      <c r="C1370" s="5">
        <v>45465</v>
      </c>
      <c r="D1370">
        <v>5</v>
      </c>
      <c r="E1370">
        <f>WEEKNUM(Append321[[#This Row],[Date]])</f>
        <v>25</v>
      </c>
    </row>
    <row r="1371" spans="1:5">
      <c r="A1371" t="s">
        <v>110</v>
      </c>
      <c r="B1371" t="s">
        <v>100</v>
      </c>
      <c r="C1371" s="5">
        <v>45466</v>
      </c>
      <c r="D1371">
        <v>3</v>
      </c>
      <c r="E1371">
        <f>WEEKNUM(Append321[[#This Row],[Date]])</f>
        <v>26</v>
      </c>
    </row>
    <row r="1372" spans="1:5">
      <c r="A1372" t="s">
        <v>110</v>
      </c>
      <c r="B1372" t="s">
        <v>100</v>
      </c>
      <c r="C1372" s="5">
        <v>45467</v>
      </c>
      <c r="D1372">
        <v>7</v>
      </c>
      <c r="E1372">
        <f>WEEKNUM(Append321[[#This Row],[Date]])</f>
        <v>26</v>
      </c>
    </row>
    <row r="1373" spans="1:5">
      <c r="A1373" t="s">
        <v>110</v>
      </c>
      <c r="B1373" t="s">
        <v>100</v>
      </c>
      <c r="C1373" s="5">
        <v>45468</v>
      </c>
      <c r="D1373">
        <v>6</v>
      </c>
      <c r="E1373">
        <f>WEEKNUM(Append321[[#This Row],[Date]])</f>
        <v>26</v>
      </c>
    </row>
    <row r="1374" spans="1:5">
      <c r="A1374" t="s">
        <v>110</v>
      </c>
      <c r="B1374" t="s">
        <v>100</v>
      </c>
      <c r="C1374" s="5">
        <v>45469</v>
      </c>
      <c r="D1374">
        <v>5</v>
      </c>
      <c r="E1374">
        <f>WEEKNUM(Append321[[#This Row],[Date]])</f>
        <v>26</v>
      </c>
    </row>
    <row r="1375" spans="1:5">
      <c r="A1375" t="s">
        <v>110</v>
      </c>
      <c r="B1375" t="s">
        <v>100</v>
      </c>
      <c r="C1375" s="5">
        <v>45470</v>
      </c>
      <c r="D1375">
        <v>5</v>
      </c>
      <c r="E1375">
        <f>WEEKNUM(Append321[[#This Row],[Date]])</f>
        <v>26</v>
      </c>
    </row>
    <row r="1376" spans="1:5">
      <c r="A1376" t="s">
        <v>110</v>
      </c>
      <c r="B1376" t="s">
        <v>100</v>
      </c>
      <c r="C1376" s="5">
        <v>45471</v>
      </c>
      <c r="D1376">
        <v>6</v>
      </c>
      <c r="E1376">
        <f>WEEKNUM(Append321[[#This Row],[Date]])</f>
        <v>26</v>
      </c>
    </row>
    <row r="1377" spans="1:5">
      <c r="A1377" t="s">
        <v>110</v>
      </c>
      <c r="B1377" t="s">
        <v>100</v>
      </c>
      <c r="C1377" s="5">
        <v>45472</v>
      </c>
      <c r="D1377">
        <v>10</v>
      </c>
      <c r="E1377">
        <f>WEEKNUM(Append321[[#This Row],[Date]])</f>
        <v>26</v>
      </c>
    </row>
    <row r="1378" spans="1:5">
      <c r="A1378" t="s">
        <v>110</v>
      </c>
      <c r="B1378" t="s">
        <v>100</v>
      </c>
      <c r="C1378" s="5">
        <v>45473</v>
      </c>
      <c r="D1378">
        <v>6</v>
      </c>
      <c r="E1378">
        <f>WEEKNUM(Append321[[#This Row],[Date]])</f>
        <v>27</v>
      </c>
    </row>
    <row r="1379" spans="1:5">
      <c r="A1379" t="s">
        <v>110</v>
      </c>
      <c r="B1379" t="s">
        <v>100</v>
      </c>
      <c r="C1379" s="5">
        <v>45474</v>
      </c>
      <c r="D1379">
        <v>13</v>
      </c>
      <c r="E1379">
        <f>WEEKNUM(Append321[[#This Row],[Date]])</f>
        <v>27</v>
      </c>
    </row>
    <row r="1380" spans="1:5">
      <c r="A1380" t="s">
        <v>110</v>
      </c>
      <c r="B1380" t="s">
        <v>100</v>
      </c>
      <c r="C1380" s="5">
        <v>45475</v>
      </c>
      <c r="D1380">
        <v>14</v>
      </c>
      <c r="E1380">
        <f>WEEKNUM(Append321[[#This Row],[Date]])</f>
        <v>27</v>
      </c>
    </row>
    <row r="1381" spans="1:5">
      <c r="A1381" t="s">
        <v>110</v>
      </c>
      <c r="B1381" t="s">
        <v>100</v>
      </c>
      <c r="C1381" s="5">
        <v>45476</v>
      </c>
      <c r="D1381">
        <v>10</v>
      </c>
      <c r="E1381">
        <f>WEEKNUM(Append321[[#This Row],[Date]])</f>
        <v>27</v>
      </c>
    </row>
    <row r="1382" spans="1:5">
      <c r="A1382" t="s">
        <v>110</v>
      </c>
      <c r="B1382" t="s">
        <v>100</v>
      </c>
      <c r="C1382" s="5">
        <v>45477</v>
      </c>
      <c r="D1382">
        <v>15</v>
      </c>
      <c r="E1382">
        <f>WEEKNUM(Append321[[#This Row],[Date]])</f>
        <v>27</v>
      </c>
    </row>
    <row r="1383" spans="1:5">
      <c r="A1383" t="s">
        <v>110</v>
      </c>
      <c r="B1383" t="s">
        <v>100</v>
      </c>
      <c r="C1383" s="5">
        <v>45478</v>
      </c>
      <c r="D1383">
        <v>15</v>
      </c>
      <c r="E1383">
        <f>WEEKNUM(Append321[[#This Row],[Date]])</f>
        <v>27</v>
      </c>
    </row>
    <row r="1384" spans="1:5">
      <c r="A1384" t="s">
        <v>110</v>
      </c>
      <c r="B1384" t="s">
        <v>100</v>
      </c>
      <c r="C1384" s="5">
        <v>45479</v>
      </c>
      <c r="D1384">
        <v>15</v>
      </c>
      <c r="E1384">
        <f>WEEKNUM(Append321[[#This Row],[Date]])</f>
        <v>27</v>
      </c>
    </row>
    <row r="1385" spans="1:5">
      <c r="A1385" t="s">
        <v>110</v>
      </c>
      <c r="B1385" t="s">
        <v>100</v>
      </c>
      <c r="C1385" s="5">
        <v>45480</v>
      </c>
      <c r="D1385">
        <v>15</v>
      </c>
      <c r="E1385">
        <f>WEEKNUM(Append321[[#This Row],[Date]])</f>
        <v>28</v>
      </c>
    </row>
    <row r="1386" spans="1:5">
      <c r="A1386" t="s">
        <v>110</v>
      </c>
      <c r="B1386" t="s">
        <v>100</v>
      </c>
      <c r="C1386" s="5">
        <v>45481</v>
      </c>
      <c r="D1386">
        <v>28</v>
      </c>
      <c r="E1386">
        <f>WEEKNUM(Append321[[#This Row],[Date]])</f>
        <v>28</v>
      </c>
    </row>
    <row r="1387" spans="1:5">
      <c r="A1387" t="s">
        <v>110</v>
      </c>
      <c r="B1387" t="s">
        <v>100</v>
      </c>
      <c r="C1387" s="5">
        <v>45482</v>
      </c>
      <c r="D1387">
        <v>8</v>
      </c>
      <c r="E1387">
        <f>WEEKNUM(Append321[[#This Row],[Date]])</f>
        <v>28</v>
      </c>
    </row>
    <row r="1388" spans="1:5">
      <c r="A1388" t="s">
        <v>110</v>
      </c>
      <c r="B1388" t="s">
        <v>100</v>
      </c>
      <c r="C1388" s="5">
        <v>45483</v>
      </c>
      <c r="D1388">
        <v>18</v>
      </c>
      <c r="E1388">
        <f>WEEKNUM(Append321[[#This Row],[Date]])</f>
        <v>28</v>
      </c>
    </row>
    <row r="1389" spans="1:5">
      <c r="A1389" t="s">
        <v>110</v>
      </c>
      <c r="B1389" t="s">
        <v>100</v>
      </c>
      <c r="C1389" s="5">
        <v>45484</v>
      </c>
      <c r="D1389">
        <v>19</v>
      </c>
      <c r="E1389">
        <f>WEEKNUM(Append321[[#This Row],[Date]])</f>
        <v>28</v>
      </c>
    </row>
    <row r="1390" spans="1:5">
      <c r="A1390" t="s">
        <v>110</v>
      </c>
      <c r="B1390" t="s">
        <v>100</v>
      </c>
      <c r="C1390" s="5">
        <v>45485</v>
      </c>
      <c r="D1390">
        <v>25</v>
      </c>
      <c r="E1390">
        <f>WEEKNUM(Append321[[#This Row],[Date]])</f>
        <v>28</v>
      </c>
    </row>
    <row r="1391" spans="1:5">
      <c r="A1391" t="s">
        <v>110</v>
      </c>
      <c r="B1391" t="s">
        <v>100</v>
      </c>
      <c r="C1391" s="5">
        <v>45486</v>
      </c>
      <c r="D1391">
        <v>25</v>
      </c>
      <c r="E1391">
        <f>WEEKNUM(Append321[[#This Row],[Date]])</f>
        <v>28</v>
      </c>
    </row>
    <row r="1392" spans="1:5">
      <c r="A1392" t="s">
        <v>110</v>
      </c>
      <c r="B1392" t="s">
        <v>100</v>
      </c>
      <c r="C1392" s="5">
        <v>45487</v>
      </c>
      <c r="D1392">
        <v>20</v>
      </c>
      <c r="E1392">
        <f>WEEKNUM(Append321[[#This Row],[Date]])</f>
        <v>29</v>
      </c>
    </row>
    <row r="1393" spans="1:5">
      <c r="A1393" t="s">
        <v>110</v>
      </c>
      <c r="B1393" t="s">
        <v>100</v>
      </c>
      <c r="C1393" s="5">
        <v>45488</v>
      </c>
      <c r="D1393">
        <v>25</v>
      </c>
      <c r="E1393">
        <f>WEEKNUM(Append321[[#This Row],[Date]])</f>
        <v>29</v>
      </c>
    </row>
    <row r="1394" spans="1:5">
      <c r="A1394" t="s">
        <v>110</v>
      </c>
      <c r="B1394" t="s">
        <v>100</v>
      </c>
      <c r="C1394" s="5">
        <v>45489</v>
      </c>
      <c r="D1394">
        <v>17</v>
      </c>
      <c r="E1394">
        <f>WEEKNUM(Append321[[#This Row],[Date]])</f>
        <v>29</v>
      </c>
    </row>
    <row r="1395" spans="1:5">
      <c r="A1395" t="s">
        <v>110</v>
      </c>
      <c r="B1395" t="s">
        <v>100</v>
      </c>
      <c r="C1395" s="5">
        <v>45490</v>
      </c>
      <c r="D1395">
        <v>14</v>
      </c>
      <c r="E1395">
        <f>WEEKNUM(Append321[[#This Row],[Date]])</f>
        <v>29</v>
      </c>
    </row>
    <row r="1396" spans="1:5">
      <c r="A1396" t="s">
        <v>110</v>
      </c>
      <c r="B1396" t="s">
        <v>100</v>
      </c>
      <c r="C1396" s="5">
        <v>45491</v>
      </c>
      <c r="D1396">
        <v>21</v>
      </c>
      <c r="E1396">
        <f>WEEKNUM(Append321[[#This Row],[Date]])</f>
        <v>29</v>
      </c>
    </row>
    <row r="1397" spans="1:5">
      <c r="A1397" t="s">
        <v>110</v>
      </c>
      <c r="B1397" t="s">
        <v>100</v>
      </c>
      <c r="C1397" s="5">
        <v>45492</v>
      </c>
      <c r="D1397">
        <v>23</v>
      </c>
      <c r="E1397">
        <f>WEEKNUM(Append321[[#This Row],[Date]])</f>
        <v>29</v>
      </c>
    </row>
    <row r="1398" spans="1:5">
      <c r="A1398" t="s">
        <v>110</v>
      </c>
      <c r="B1398" t="s">
        <v>100</v>
      </c>
      <c r="C1398" s="5">
        <v>45493</v>
      </c>
      <c r="D1398">
        <v>35</v>
      </c>
      <c r="E1398">
        <f>WEEKNUM(Append321[[#This Row],[Date]])</f>
        <v>29</v>
      </c>
    </row>
    <row r="1399" spans="1:5">
      <c r="A1399" t="s">
        <v>110</v>
      </c>
      <c r="B1399" t="s">
        <v>100</v>
      </c>
      <c r="C1399" s="5">
        <v>45494</v>
      </c>
      <c r="D1399">
        <v>17</v>
      </c>
      <c r="E1399">
        <f>WEEKNUM(Append321[[#This Row],[Date]])</f>
        <v>30</v>
      </c>
    </row>
    <row r="1400" spans="1:5">
      <c r="A1400" t="s">
        <v>110</v>
      </c>
      <c r="B1400" t="s">
        <v>100</v>
      </c>
      <c r="C1400" s="5">
        <v>45495</v>
      </c>
      <c r="D1400">
        <v>22</v>
      </c>
      <c r="E1400">
        <f>WEEKNUM(Append321[[#This Row],[Date]])</f>
        <v>30</v>
      </c>
    </row>
    <row r="1401" spans="1:5">
      <c r="A1401" t="s">
        <v>110</v>
      </c>
      <c r="B1401" t="s">
        <v>100</v>
      </c>
      <c r="C1401" s="5">
        <v>45496</v>
      </c>
      <c r="D1401">
        <v>25</v>
      </c>
      <c r="E1401">
        <f>WEEKNUM(Append321[[#This Row],[Date]])</f>
        <v>30</v>
      </c>
    </row>
    <row r="1402" spans="1:5">
      <c r="A1402" t="s">
        <v>110</v>
      </c>
      <c r="B1402" t="s">
        <v>100</v>
      </c>
      <c r="C1402" s="5">
        <v>45497</v>
      </c>
      <c r="D1402">
        <v>23</v>
      </c>
      <c r="E1402">
        <f>WEEKNUM(Append321[[#This Row],[Date]])</f>
        <v>30</v>
      </c>
    </row>
    <row r="1403" spans="1:5">
      <c r="A1403" t="s">
        <v>110</v>
      </c>
      <c r="B1403" t="s">
        <v>100</v>
      </c>
      <c r="C1403" s="5">
        <v>45498</v>
      </c>
      <c r="D1403">
        <v>28</v>
      </c>
      <c r="E1403">
        <f>WEEKNUM(Append321[[#This Row],[Date]])</f>
        <v>30</v>
      </c>
    </row>
    <row r="1404" spans="1:5">
      <c r="A1404" t="s">
        <v>110</v>
      </c>
      <c r="B1404" t="s">
        <v>100</v>
      </c>
      <c r="C1404" s="5">
        <v>45499</v>
      </c>
      <c r="D1404">
        <v>30</v>
      </c>
      <c r="E1404">
        <f>WEEKNUM(Append321[[#This Row],[Date]])</f>
        <v>30</v>
      </c>
    </row>
    <row r="1405" spans="1:5">
      <c r="A1405" t="s">
        <v>110</v>
      </c>
      <c r="B1405" t="s">
        <v>100</v>
      </c>
      <c r="C1405" s="5">
        <v>45500</v>
      </c>
      <c r="D1405">
        <v>45</v>
      </c>
      <c r="E1405">
        <f>WEEKNUM(Append321[[#This Row],[Date]])</f>
        <v>30</v>
      </c>
    </row>
    <row r="1406" spans="1:5">
      <c r="A1406" t="s">
        <v>110</v>
      </c>
      <c r="B1406" t="s">
        <v>100</v>
      </c>
      <c r="C1406" s="5">
        <v>45501</v>
      </c>
      <c r="D1406">
        <v>17</v>
      </c>
      <c r="E1406">
        <f>WEEKNUM(Append321[[#This Row],[Date]])</f>
        <v>31</v>
      </c>
    </row>
    <row r="1407" spans="1:5">
      <c r="A1407" t="s">
        <v>110</v>
      </c>
      <c r="B1407" t="s">
        <v>100</v>
      </c>
      <c r="C1407" s="5">
        <v>45502</v>
      </c>
      <c r="D1407">
        <v>24</v>
      </c>
      <c r="E1407">
        <f>WEEKNUM(Append321[[#This Row],[Date]])</f>
        <v>31</v>
      </c>
    </row>
    <row r="1408" spans="1:5">
      <c r="A1408" t="s">
        <v>110</v>
      </c>
      <c r="B1408" t="s">
        <v>100</v>
      </c>
      <c r="C1408" s="5">
        <v>45503</v>
      </c>
      <c r="D1408">
        <v>26</v>
      </c>
      <c r="E1408">
        <f>WEEKNUM(Append321[[#This Row],[Date]])</f>
        <v>31</v>
      </c>
    </row>
    <row r="1409" spans="1:5">
      <c r="A1409" t="s">
        <v>110</v>
      </c>
      <c r="B1409" t="s">
        <v>100</v>
      </c>
      <c r="C1409" s="5">
        <v>45504</v>
      </c>
      <c r="D1409">
        <v>41</v>
      </c>
      <c r="E1409">
        <f>WEEKNUM(Append321[[#This Row],[Date]])</f>
        <v>31</v>
      </c>
    </row>
    <row r="1410" spans="1:5">
      <c r="A1410" t="s">
        <v>110</v>
      </c>
      <c r="B1410" t="s">
        <v>100</v>
      </c>
      <c r="C1410" s="5">
        <v>45505</v>
      </c>
      <c r="D1410">
        <v>52</v>
      </c>
      <c r="E1410">
        <f>WEEKNUM(Append321[[#This Row],[Date]])</f>
        <v>31</v>
      </c>
    </row>
    <row r="1411" spans="1:5">
      <c r="A1411" t="s">
        <v>110</v>
      </c>
      <c r="B1411" t="s">
        <v>100</v>
      </c>
      <c r="C1411" s="5">
        <v>45506</v>
      </c>
      <c r="D1411">
        <v>38</v>
      </c>
      <c r="E1411">
        <f>WEEKNUM(Append321[[#This Row],[Date]])</f>
        <v>31</v>
      </c>
    </row>
    <row r="1412" spans="1:5">
      <c r="A1412" t="s">
        <v>110</v>
      </c>
      <c r="B1412" t="s">
        <v>100</v>
      </c>
      <c r="C1412" s="5">
        <v>45507</v>
      </c>
      <c r="D1412">
        <v>41</v>
      </c>
      <c r="E1412">
        <f>WEEKNUM(Append321[[#This Row],[Date]])</f>
        <v>31</v>
      </c>
    </row>
    <row r="1413" spans="1:5">
      <c r="A1413" t="s">
        <v>110</v>
      </c>
      <c r="B1413" t="s">
        <v>100</v>
      </c>
      <c r="C1413" s="5">
        <v>45508</v>
      </c>
      <c r="D1413">
        <v>37</v>
      </c>
      <c r="E1413">
        <f>WEEKNUM(Append321[[#This Row],[Date]])</f>
        <v>32</v>
      </c>
    </row>
    <row r="1414" spans="1:5">
      <c r="A1414" t="s">
        <v>110</v>
      </c>
      <c r="B1414" t="s">
        <v>100</v>
      </c>
      <c r="C1414" s="5">
        <v>45509</v>
      </c>
      <c r="D1414">
        <v>32</v>
      </c>
      <c r="E1414">
        <f>WEEKNUM(Append321[[#This Row],[Date]])</f>
        <v>32</v>
      </c>
    </row>
    <row r="1415" spans="1:5">
      <c r="A1415" t="s">
        <v>110</v>
      </c>
      <c r="B1415" t="s">
        <v>100</v>
      </c>
      <c r="C1415" s="5">
        <v>45510</v>
      </c>
      <c r="D1415">
        <v>30</v>
      </c>
      <c r="E1415">
        <f>WEEKNUM(Append321[[#This Row],[Date]])</f>
        <v>32</v>
      </c>
    </row>
    <row r="1416" spans="1:5">
      <c r="A1416" t="s">
        <v>110</v>
      </c>
      <c r="B1416" t="s">
        <v>100</v>
      </c>
      <c r="C1416" s="5">
        <v>45511</v>
      </c>
      <c r="D1416">
        <v>50</v>
      </c>
      <c r="E1416">
        <f>WEEKNUM(Append321[[#This Row],[Date]])</f>
        <v>32</v>
      </c>
    </row>
    <row r="1417" spans="1:5">
      <c r="A1417" t="s">
        <v>110</v>
      </c>
      <c r="B1417" t="s">
        <v>100</v>
      </c>
      <c r="C1417" s="5">
        <v>45512</v>
      </c>
      <c r="D1417">
        <v>42</v>
      </c>
      <c r="E1417">
        <f>WEEKNUM(Append321[[#This Row],[Date]])</f>
        <v>32</v>
      </c>
    </row>
    <row r="1418" spans="1:5">
      <c r="A1418" t="s">
        <v>110</v>
      </c>
      <c r="B1418" t="s">
        <v>100</v>
      </c>
      <c r="C1418" s="5">
        <v>45513</v>
      </c>
      <c r="D1418">
        <v>35</v>
      </c>
      <c r="E1418">
        <f>WEEKNUM(Append321[[#This Row],[Date]])</f>
        <v>32</v>
      </c>
    </row>
    <row r="1419" spans="1:5">
      <c r="A1419" t="s">
        <v>110</v>
      </c>
      <c r="B1419" t="s">
        <v>100</v>
      </c>
      <c r="C1419" s="5">
        <v>45514</v>
      </c>
      <c r="D1419">
        <v>42</v>
      </c>
      <c r="E1419">
        <f>WEEKNUM(Append321[[#This Row],[Date]])</f>
        <v>32</v>
      </c>
    </row>
    <row r="1420" spans="1:5">
      <c r="A1420" t="s">
        <v>110</v>
      </c>
      <c r="B1420" t="s">
        <v>100</v>
      </c>
      <c r="C1420" s="5">
        <v>45515</v>
      </c>
      <c r="D1420">
        <v>22</v>
      </c>
      <c r="E1420">
        <f>WEEKNUM(Append321[[#This Row],[Date]])</f>
        <v>33</v>
      </c>
    </row>
    <row r="1421" spans="1:5">
      <c r="A1421" t="s">
        <v>110</v>
      </c>
      <c r="B1421" t="s">
        <v>100</v>
      </c>
      <c r="C1421" s="5">
        <v>45516</v>
      </c>
      <c r="D1421">
        <v>26</v>
      </c>
      <c r="E1421">
        <f>WEEKNUM(Append321[[#This Row],[Date]])</f>
        <v>33</v>
      </c>
    </row>
    <row r="1422" spans="1:5">
      <c r="A1422" t="s">
        <v>110</v>
      </c>
      <c r="B1422" t="s">
        <v>100</v>
      </c>
      <c r="C1422" s="5">
        <v>45517</v>
      </c>
      <c r="D1422">
        <v>23</v>
      </c>
      <c r="E1422">
        <f>WEEKNUM(Append321[[#This Row],[Date]])</f>
        <v>33</v>
      </c>
    </row>
    <row r="1423" spans="1:5">
      <c r="A1423" t="s">
        <v>110</v>
      </c>
      <c r="B1423" t="s">
        <v>100</v>
      </c>
      <c r="C1423" s="5">
        <v>45518</v>
      </c>
      <c r="D1423">
        <v>30</v>
      </c>
      <c r="E1423">
        <f>WEEKNUM(Append321[[#This Row],[Date]])</f>
        <v>33</v>
      </c>
    </row>
    <row r="1424" spans="1:5">
      <c r="A1424" t="s">
        <v>110</v>
      </c>
      <c r="B1424" t="s">
        <v>100</v>
      </c>
      <c r="C1424" s="5">
        <v>45519</v>
      </c>
      <c r="D1424">
        <v>32</v>
      </c>
      <c r="E1424">
        <f>WEEKNUM(Append321[[#This Row],[Date]])</f>
        <v>33</v>
      </c>
    </row>
    <row r="1425" spans="1:5">
      <c r="A1425" t="s">
        <v>110</v>
      </c>
      <c r="B1425" t="s">
        <v>100</v>
      </c>
      <c r="C1425" s="5">
        <v>45520</v>
      </c>
      <c r="D1425">
        <v>35</v>
      </c>
      <c r="E1425">
        <f>WEEKNUM(Append321[[#This Row],[Date]])</f>
        <v>33</v>
      </c>
    </row>
    <row r="1426" spans="1:5">
      <c r="A1426" t="s">
        <v>110</v>
      </c>
      <c r="B1426" t="s">
        <v>100</v>
      </c>
      <c r="C1426" s="5">
        <v>45521</v>
      </c>
      <c r="D1426">
        <v>23</v>
      </c>
      <c r="E1426">
        <f>WEEKNUM(Append321[[#This Row],[Date]])</f>
        <v>33</v>
      </c>
    </row>
    <row r="1427" spans="1:5">
      <c r="A1427" t="s">
        <v>110</v>
      </c>
      <c r="B1427" t="s">
        <v>100</v>
      </c>
      <c r="C1427" s="5">
        <v>45522</v>
      </c>
      <c r="D1427">
        <v>20</v>
      </c>
      <c r="E1427">
        <f>WEEKNUM(Append321[[#This Row],[Date]])</f>
        <v>34</v>
      </c>
    </row>
    <row r="1428" spans="1:5">
      <c r="A1428" t="s">
        <v>110</v>
      </c>
      <c r="B1428" t="s">
        <v>100</v>
      </c>
      <c r="C1428" s="5">
        <v>45523</v>
      </c>
      <c r="D1428">
        <v>15</v>
      </c>
      <c r="E1428">
        <f>WEEKNUM(Append321[[#This Row],[Date]])</f>
        <v>34</v>
      </c>
    </row>
    <row r="1429" spans="1:5">
      <c r="A1429" t="s">
        <v>110</v>
      </c>
      <c r="B1429" t="s">
        <v>100</v>
      </c>
      <c r="C1429" s="5">
        <v>45524</v>
      </c>
      <c r="D1429">
        <v>27</v>
      </c>
      <c r="E1429">
        <f>WEEKNUM(Append321[[#This Row],[Date]])</f>
        <v>34</v>
      </c>
    </row>
    <row r="1430" spans="1:5">
      <c r="A1430" t="s">
        <v>110</v>
      </c>
      <c r="B1430" t="s">
        <v>100</v>
      </c>
      <c r="C1430" s="5">
        <v>45525</v>
      </c>
      <c r="D1430">
        <v>31</v>
      </c>
      <c r="E1430">
        <f>WEEKNUM(Append321[[#This Row],[Date]])</f>
        <v>34</v>
      </c>
    </row>
    <row r="1431" spans="1:5">
      <c r="A1431" t="s">
        <v>110</v>
      </c>
      <c r="B1431" t="s">
        <v>100</v>
      </c>
      <c r="C1431" s="5">
        <v>45526</v>
      </c>
      <c r="D1431">
        <v>26</v>
      </c>
      <c r="E1431">
        <f>WEEKNUM(Append321[[#This Row],[Date]])</f>
        <v>34</v>
      </c>
    </row>
    <row r="1432" spans="1:5">
      <c r="A1432" t="s">
        <v>110</v>
      </c>
      <c r="B1432" t="s">
        <v>100</v>
      </c>
      <c r="C1432" s="5">
        <v>45527</v>
      </c>
      <c r="D1432">
        <v>31</v>
      </c>
      <c r="E1432">
        <f>WEEKNUM(Append321[[#This Row],[Date]])</f>
        <v>34</v>
      </c>
    </row>
    <row r="1433" spans="1:5">
      <c r="A1433" t="s">
        <v>110</v>
      </c>
      <c r="B1433" t="s">
        <v>100</v>
      </c>
      <c r="C1433" s="5">
        <v>45528</v>
      </c>
      <c r="D1433">
        <v>46</v>
      </c>
      <c r="E1433">
        <f>WEEKNUM(Append321[[#This Row],[Date]])</f>
        <v>34</v>
      </c>
    </row>
    <row r="1434" spans="1:5">
      <c r="A1434" t="s">
        <v>110</v>
      </c>
      <c r="B1434" t="s">
        <v>100</v>
      </c>
      <c r="C1434" s="5">
        <v>45529</v>
      </c>
      <c r="D1434">
        <v>16</v>
      </c>
      <c r="E1434">
        <f>WEEKNUM(Append321[[#This Row],[Date]])</f>
        <v>35</v>
      </c>
    </row>
    <row r="1435" spans="1:5">
      <c r="A1435" t="s">
        <v>110</v>
      </c>
      <c r="B1435" t="s">
        <v>100</v>
      </c>
      <c r="C1435" s="5">
        <v>45530</v>
      </c>
      <c r="D1435">
        <v>32</v>
      </c>
      <c r="E1435">
        <f>WEEKNUM(Append321[[#This Row],[Date]])</f>
        <v>35</v>
      </c>
    </row>
    <row r="1436" spans="1:5">
      <c r="A1436" t="s">
        <v>110</v>
      </c>
      <c r="B1436" t="s">
        <v>100</v>
      </c>
      <c r="C1436" s="5">
        <v>45531</v>
      </c>
      <c r="D1436">
        <v>36</v>
      </c>
      <c r="E1436">
        <f>WEEKNUM(Append321[[#This Row],[Date]])</f>
        <v>35</v>
      </c>
    </row>
    <row r="1437" spans="1:5">
      <c r="A1437" t="s">
        <v>110</v>
      </c>
      <c r="B1437" t="s">
        <v>100</v>
      </c>
      <c r="C1437" s="5">
        <v>45532</v>
      </c>
      <c r="D1437">
        <v>41</v>
      </c>
      <c r="E1437">
        <f>WEEKNUM(Append321[[#This Row],[Date]])</f>
        <v>35</v>
      </c>
    </row>
    <row r="1438" spans="1:5">
      <c r="A1438" t="s">
        <v>110</v>
      </c>
      <c r="B1438" t="s">
        <v>100</v>
      </c>
      <c r="C1438" s="5">
        <v>45533</v>
      </c>
      <c r="D1438">
        <v>25</v>
      </c>
      <c r="E1438">
        <f>WEEKNUM(Append321[[#This Row],[Date]])</f>
        <v>35</v>
      </c>
    </row>
    <row r="1439" spans="1:5">
      <c r="A1439" t="s">
        <v>110</v>
      </c>
      <c r="B1439" t="s">
        <v>100</v>
      </c>
      <c r="C1439" s="5">
        <v>45534</v>
      </c>
      <c r="D1439">
        <v>28</v>
      </c>
      <c r="E1439">
        <f>WEEKNUM(Append321[[#This Row],[Date]])</f>
        <v>35</v>
      </c>
    </row>
    <row r="1440" spans="1:5">
      <c r="A1440" t="s">
        <v>110</v>
      </c>
      <c r="B1440" t="s">
        <v>100</v>
      </c>
      <c r="C1440" s="5">
        <v>45535</v>
      </c>
      <c r="D1440">
        <v>30</v>
      </c>
      <c r="E1440">
        <f>WEEKNUM(Append321[[#This Row],[Date]])</f>
        <v>35</v>
      </c>
    </row>
    <row r="1441" spans="1:5">
      <c r="A1441" t="s">
        <v>110</v>
      </c>
      <c r="B1441" t="s">
        <v>101</v>
      </c>
      <c r="C1441" s="5">
        <v>45444</v>
      </c>
      <c r="D1441">
        <v>54</v>
      </c>
      <c r="E1441">
        <f>WEEKNUM(Append321[[#This Row],[Date]])</f>
        <v>22</v>
      </c>
    </row>
    <row r="1442" spans="1:5">
      <c r="A1442" t="s">
        <v>110</v>
      </c>
      <c r="B1442" t="s">
        <v>101</v>
      </c>
      <c r="C1442" s="5">
        <v>45445</v>
      </c>
      <c r="D1442">
        <v>34</v>
      </c>
      <c r="E1442">
        <f>WEEKNUM(Append321[[#This Row],[Date]])</f>
        <v>23</v>
      </c>
    </row>
    <row r="1443" spans="1:5">
      <c r="A1443" t="s">
        <v>110</v>
      </c>
      <c r="B1443" t="s">
        <v>101</v>
      </c>
      <c r="C1443" s="5">
        <v>45446</v>
      </c>
      <c r="D1443">
        <v>23</v>
      </c>
      <c r="E1443">
        <f>WEEKNUM(Append321[[#This Row],[Date]])</f>
        <v>23</v>
      </c>
    </row>
    <row r="1444" spans="1:5">
      <c r="A1444" t="s">
        <v>110</v>
      </c>
      <c r="B1444" t="s">
        <v>101</v>
      </c>
      <c r="C1444" s="5">
        <v>45447</v>
      </c>
      <c r="D1444">
        <v>40</v>
      </c>
      <c r="E1444">
        <f>WEEKNUM(Append321[[#This Row],[Date]])</f>
        <v>23</v>
      </c>
    </row>
    <row r="1445" spans="1:5">
      <c r="A1445" t="s">
        <v>110</v>
      </c>
      <c r="B1445" t="s">
        <v>101</v>
      </c>
      <c r="C1445" s="5">
        <v>45448</v>
      </c>
      <c r="D1445">
        <v>46</v>
      </c>
      <c r="E1445">
        <f>WEEKNUM(Append321[[#This Row],[Date]])</f>
        <v>23</v>
      </c>
    </row>
    <row r="1446" spans="1:5">
      <c r="A1446" t="s">
        <v>110</v>
      </c>
      <c r="B1446" t="s">
        <v>101</v>
      </c>
      <c r="C1446" s="5">
        <v>45449</v>
      </c>
      <c r="D1446">
        <v>28</v>
      </c>
      <c r="E1446">
        <f>WEEKNUM(Append321[[#This Row],[Date]])</f>
        <v>23</v>
      </c>
    </row>
    <row r="1447" spans="1:5">
      <c r="A1447" t="s">
        <v>110</v>
      </c>
      <c r="B1447" t="s">
        <v>101</v>
      </c>
      <c r="C1447" s="5">
        <v>45450</v>
      </c>
      <c r="D1447">
        <v>41</v>
      </c>
      <c r="E1447">
        <f>WEEKNUM(Append321[[#This Row],[Date]])</f>
        <v>23</v>
      </c>
    </row>
    <row r="1448" spans="1:5">
      <c r="A1448" t="s">
        <v>110</v>
      </c>
      <c r="B1448" t="s">
        <v>101</v>
      </c>
      <c r="C1448" s="5">
        <v>45451</v>
      </c>
      <c r="D1448">
        <v>47</v>
      </c>
      <c r="E1448">
        <f>WEEKNUM(Append321[[#This Row],[Date]])</f>
        <v>23</v>
      </c>
    </row>
    <row r="1449" spans="1:5">
      <c r="A1449" t="s">
        <v>110</v>
      </c>
      <c r="B1449" t="s">
        <v>101</v>
      </c>
      <c r="C1449" s="5">
        <v>45452</v>
      </c>
      <c r="D1449">
        <v>26</v>
      </c>
      <c r="E1449">
        <f>WEEKNUM(Append321[[#This Row],[Date]])</f>
        <v>24</v>
      </c>
    </row>
    <row r="1450" spans="1:5">
      <c r="A1450" t="s">
        <v>110</v>
      </c>
      <c r="B1450" t="s">
        <v>101</v>
      </c>
      <c r="C1450" s="5">
        <v>45453</v>
      </c>
      <c r="D1450">
        <v>34</v>
      </c>
      <c r="E1450">
        <f>WEEKNUM(Append321[[#This Row],[Date]])</f>
        <v>24</v>
      </c>
    </row>
    <row r="1451" spans="1:5">
      <c r="A1451" t="s">
        <v>110</v>
      </c>
      <c r="B1451" t="s">
        <v>101</v>
      </c>
      <c r="C1451" s="5">
        <v>45454</v>
      </c>
      <c r="D1451">
        <v>43</v>
      </c>
      <c r="E1451">
        <f>WEEKNUM(Append321[[#This Row],[Date]])</f>
        <v>24</v>
      </c>
    </row>
    <row r="1452" spans="1:5">
      <c r="A1452" t="s">
        <v>110</v>
      </c>
      <c r="B1452" t="s">
        <v>101</v>
      </c>
      <c r="C1452" s="5">
        <v>45455</v>
      </c>
      <c r="D1452">
        <v>39</v>
      </c>
      <c r="E1452">
        <f>WEEKNUM(Append321[[#This Row],[Date]])</f>
        <v>24</v>
      </c>
    </row>
    <row r="1453" spans="1:5">
      <c r="A1453" t="s">
        <v>110</v>
      </c>
      <c r="B1453" t="s">
        <v>101</v>
      </c>
      <c r="C1453" s="5">
        <v>45456</v>
      </c>
      <c r="D1453">
        <v>38</v>
      </c>
      <c r="E1453">
        <f>WEEKNUM(Append321[[#This Row],[Date]])</f>
        <v>24</v>
      </c>
    </row>
    <row r="1454" spans="1:5">
      <c r="A1454" t="s">
        <v>110</v>
      </c>
      <c r="B1454" t="s">
        <v>101</v>
      </c>
      <c r="C1454" s="5">
        <v>45457</v>
      </c>
      <c r="D1454">
        <v>48</v>
      </c>
      <c r="E1454">
        <f>WEEKNUM(Append321[[#This Row],[Date]])</f>
        <v>24</v>
      </c>
    </row>
    <row r="1455" spans="1:5">
      <c r="A1455" t="s">
        <v>110</v>
      </c>
      <c r="B1455" t="s">
        <v>101</v>
      </c>
      <c r="C1455" s="5">
        <v>45458</v>
      </c>
      <c r="D1455">
        <v>46</v>
      </c>
      <c r="E1455">
        <f>WEEKNUM(Append321[[#This Row],[Date]])</f>
        <v>24</v>
      </c>
    </row>
    <row r="1456" spans="1:5">
      <c r="A1456" t="s">
        <v>110</v>
      </c>
      <c r="B1456" t="s">
        <v>101</v>
      </c>
      <c r="C1456" s="5">
        <v>45459</v>
      </c>
      <c r="D1456">
        <v>40</v>
      </c>
      <c r="E1456">
        <f>WEEKNUM(Append321[[#This Row],[Date]])</f>
        <v>25</v>
      </c>
    </row>
    <row r="1457" spans="1:5">
      <c r="A1457" t="s">
        <v>110</v>
      </c>
      <c r="B1457" t="s">
        <v>101</v>
      </c>
      <c r="C1457" s="5">
        <v>45460</v>
      </c>
      <c r="D1457">
        <v>36</v>
      </c>
      <c r="E1457">
        <f>WEEKNUM(Append321[[#This Row],[Date]])</f>
        <v>25</v>
      </c>
    </row>
    <row r="1458" spans="1:5">
      <c r="A1458" t="s">
        <v>110</v>
      </c>
      <c r="B1458" t="s">
        <v>101</v>
      </c>
      <c r="C1458" s="5">
        <v>45461</v>
      </c>
      <c r="D1458">
        <v>35</v>
      </c>
      <c r="E1458">
        <f>WEEKNUM(Append321[[#This Row],[Date]])</f>
        <v>25</v>
      </c>
    </row>
    <row r="1459" spans="1:5">
      <c r="A1459" t="s">
        <v>110</v>
      </c>
      <c r="B1459" t="s">
        <v>101</v>
      </c>
      <c r="C1459" s="5">
        <v>45462</v>
      </c>
      <c r="D1459">
        <v>47</v>
      </c>
      <c r="E1459">
        <f>WEEKNUM(Append321[[#This Row],[Date]])</f>
        <v>25</v>
      </c>
    </row>
    <row r="1460" spans="1:5">
      <c r="A1460" t="s">
        <v>110</v>
      </c>
      <c r="B1460" t="s">
        <v>101</v>
      </c>
      <c r="C1460" s="5">
        <v>45463</v>
      </c>
      <c r="D1460">
        <v>50</v>
      </c>
      <c r="E1460">
        <f>WEEKNUM(Append321[[#This Row],[Date]])</f>
        <v>25</v>
      </c>
    </row>
    <row r="1461" spans="1:5">
      <c r="A1461" t="s">
        <v>110</v>
      </c>
      <c r="B1461" t="s">
        <v>101</v>
      </c>
      <c r="C1461" s="5">
        <v>45464</v>
      </c>
      <c r="D1461">
        <v>46</v>
      </c>
      <c r="E1461">
        <f>WEEKNUM(Append321[[#This Row],[Date]])</f>
        <v>25</v>
      </c>
    </row>
    <row r="1462" spans="1:5">
      <c r="A1462" t="s">
        <v>110</v>
      </c>
      <c r="B1462" t="s">
        <v>101</v>
      </c>
      <c r="C1462" s="5">
        <v>45465</v>
      </c>
      <c r="D1462">
        <v>47</v>
      </c>
      <c r="E1462">
        <f>WEEKNUM(Append321[[#This Row],[Date]])</f>
        <v>25</v>
      </c>
    </row>
    <row r="1463" spans="1:5">
      <c r="A1463" t="s">
        <v>110</v>
      </c>
      <c r="B1463" t="s">
        <v>101</v>
      </c>
      <c r="C1463" s="5">
        <v>45466</v>
      </c>
      <c r="D1463">
        <v>43</v>
      </c>
      <c r="E1463">
        <f>WEEKNUM(Append321[[#This Row],[Date]])</f>
        <v>26</v>
      </c>
    </row>
    <row r="1464" spans="1:5">
      <c r="A1464" t="s">
        <v>110</v>
      </c>
      <c r="B1464" t="s">
        <v>101</v>
      </c>
      <c r="C1464" s="5">
        <v>45467</v>
      </c>
      <c r="D1464">
        <v>48</v>
      </c>
      <c r="E1464">
        <f>WEEKNUM(Append321[[#This Row],[Date]])</f>
        <v>26</v>
      </c>
    </row>
    <row r="1465" spans="1:5">
      <c r="A1465" t="s">
        <v>110</v>
      </c>
      <c r="B1465" t="s">
        <v>101</v>
      </c>
      <c r="C1465" s="5">
        <v>45468</v>
      </c>
      <c r="D1465">
        <v>37</v>
      </c>
      <c r="E1465">
        <f>WEEKNUM(Append321[[#This Row],[Date]])</f>
        <v>26</v>
      </c>
    </row>
    <row r="1466" spans="1:5">
      <c r="A1466" t="s">
        <v>110</v>
      </c>
      <c r="B1466" t="s">
        <v>101</v>
      </c>
      <c r="C1466" s="5">
        <v>45469</v>
      </c>
      <c r="D1466">
        <v>40</v>
      </c>
      <c r="E1466">
        <f>WEEKNUM(Append321[[#This Row],[Date]])</f>
        <v>26</v>
      </c>
    </row>
    <row r="1467" spans="1:5">
      <c r="A1467" t="s">
        <v>110</v>
      </c>
      <c r="B1467" t="s">
        <v>101</v>
      </c>
      <c r="C1467" s="5">
        <v>45470</v>
      </c>
      <c r="D1467">
        <v>26</v>
      </c>
      <c r="E1467">
        <f>WEEKNUM(Append321[[#This Row],[Date]])</f>
        <v>26</v>
      </c>
    </row>
    <row r="1468" spans="1:5">
      <c r="A1468" t="s">
        <v>110</v>
      </c>
      <c r="B1468" t="s">
        <v>101</v>
      </c>
      <c r="C1468" s="5">
        <v>45471</v>
      </c>
      <c r="D1468">
        <v>48</v>
      </c>
      <c r="E1468">
        <f>WEEKNUM(Append321[[#This Row],[Date]])</f>
        <v>26</v>
      </c>
    </row>
    <row r="1469" spans="1:5">
      <c r="A1469" t="s">
        <v>110</v>
      </c>
      <c r="B1469" t="s">
        <v>101</v>
      </c>
      <c r="C1469" s="5">
        <v>45472</v>
      </c>
      <c r="D1469">
        <v>55</v>
      </c>
      <c r="E1469">
        <f>WEEKNUM(Append321[[#This Row],[Date]])</f>
        <v>26</v>
      </c>
    </row>
    <row r="1470" spans="1:5">
      <c r="A1470" t="s">
        <v>110</v>
      </c>
      <c r="B1470" t="s">
        <v>101</v>
      </c>
      <c r="C1470" s="5">
        <v>45473</v>
      </c>
      <c r="D1470">
        <v>47</v>
      </c>
      <c r="E1470">
        <f>WEEKNUM(Append321[[#This Row],[Date]])</f>
        <v>27</v>
      </c>
    </row>
    <row r="1471" spans="1:5">
      <c r="A1471" t="s">
        <v>110</v>
      </c>
      <c r="B1471" t="s">
        <v>101</v>
      </c>
      <c r="C1471" s="5">
        <v>45474</v>
      </c>
      <c r="D1471">
        <v>68</v>
      </c>
      <c r="E1471">
        <f>WEEKNUM(Append321[[#This Row],[Date]])</f>
        <v>27</v>
      </c>
    </row>
    <row r="1472" spans="1:5">
      <c r="A1472" t="s">
        <v>110</v>
      </c>
      <c r="B1472" t="s">
        <v>101</v>
      </c>
      <c r="C1472" s="5">
        <v>45475</v>
      </c>
      <c r="D1472">
        <v>95</v>
      </c>
      <c r="E1472">
        <f>WEEKNUM(Append321[[#This Row],[Date]])</f>
        <v>27</v>
      </c>
    </row>
    <row r="1473" spans="1:5">
      <c r="A1473" t="s">
        <v>110</v>
      </c>
      <c r="B1473" t="s">
        <v>101</v>
      </c>
      <c r="C1473" s="5">
        <v>45476</v>
      </c>
      <c r="D1473">
        <v>61</v>
      </c>
      <c r="E1473">
        <f>WEEKNUM(Append321[[#This Row],[Date]])</f>
        <v>27</v>
      </c>
    </row>
    <row r="1474" spans="1:5">
      <c r="A1474" t="s">
        <v>110</v>
      </c>
      <c r="B1474" t="s">
        <v>101</v>
      </c>
      <c r="C1474" s="5">
        <v>45477</v>
      </c>
      <c r="D1474">
        <v>86</v>
      </c>
      <c r="E1474">
        <f>WEEKNUM(Append321[[#This Row],[Date]])</f>
        <v>27</v>
      </c>
    </row>
    <row r="1475" spans="1:5">
      <c r="A1475" t="s">
        <v>110</v>
      </c>
      <c r="B1475" t="s">
        <v>101</v>
      </c>
      <c r="C1475" s="5">
        <v>45478</v>
      </c>
      <c r="D1475">
        <v>61</v>
      </c>
      <c r="E1475">
        <f>WEEKNUM(Append321[[#This Row],[Date]])</f>
        <v>27</v>
      </c>
    </row>
    <row r="1476" spans="1:5">
      <c r="A1476" t="s">
        <v>110</v>
      </c>
      <c r="B1476" t="s">
        <v>101</v>
      </c>
      <c r="C1476" s="5">
        <v>45479</v>
      </c>
      <c r="D1476">
        <v>100</v>
      </c>
      <c r="E1476">
        <f>WEEKNUM(Append321[[#This Row],[Date]])</f>
        <v>27</v>
      </c>
    </row>
    <row r="1477" spans="1:5">
      <c r="A1477" t="s">
        <v>110</v>
      </c>
      <c r="B1477" t="s">
        <v>101</v>
      </c>
      <c r="C1477" s="5">
        <v>45480</v>
      </c>
      <c r="D1477">
        <v>69</v>
      </c>
      <c r="E1477">
        <f>WEEKNUM(Append321[[#This Row],[Date]])</f>
        <v>28</v>
      </c>
    </row>
    <row r="1478" spans="1:5">
      <c r="A1478" t="s">
        <v>110</v>
      </c>
      <c r="B1478" t="s">
        <v>101</v>
      </c>
      <c r="C1478" s="5">
        <v>45481</v>
      </c>
      <c r="D1478">
        <v>65</v>
      </c>
      <c r="E1478">
        <f>WEEKNUM(Append321[[#This Row],[Date]])</f>
        <v>28</v>
      </c>
    </row>
    <row r="1479" spans="1:5">
      <c r="A1479" t="s">
        <v>110</v>
      </c>
      <c r="B1479" t="s">
        <v>101</v>
      </c>
      <c r="C1479" s="5">
        <v>45482</v>
      </c>
      <c r="D1479">
        <v>67</v>
      </c>
      <c r="E1479">
        <f>WEEKNUM(Append321[[#This Row],[Date]])</f>
        <v>28</v>
      </c>
    </row>
    <row r="1480" spans="1:5">
      <c r="A1480" t="s">
        <v>110</v>
      </c>
      <c r="B1480" t="s">
        <v>101</v>
      </c>
      <c r="C1480" s="5">
        <v>45483</v>
      </c>
      <c r="D1480">
        <v>46</v>
      </c>
      <c r="E1480">
        <f>WEEKNUM(Append321[[#This Row],[Date]])</f>
        <v>28</v>
      </c>
    </row>
    <row r="1481" spans="1:5">
      <c r="A1481" t="s">
        <v>110</v>
      </c>
      <c r="B1481" t="s">
        <v>101</v>
      </c>
      <c r="C1481" s="5">
        <v>45484</v>
      </c>
      <c r="D1481">
        <v>62</v>
      </c>
      <c r="E1481">
        <f>WEEKNUM(Append321[[#This Row],[Date]])</f>
        <v>28</v>
      </c>
    </row>
    <row r="1482" spans="1:5">
      <c r="A1482" t="s">
        <v>110</v>
      </c>
      <c r="B1482" t="s">
        <v>101</v>
      </c>
      <c r="C1482" s="5">
        <v>45485</v>
      </c>
      <c r="D1482">
        <v>66</v>
      </c>
      <c r="E1482">
        <f>WEEKNUM(Append321[[#This Row],[Date]])</f>
        <v>28</v>
      </c>
    </row>
    <row r="1483" spans="1:5">
      <c r="A1483" t="s">
        <v>110</v>
      </c>
      <c r="B1483" t="s">
        <v>101</v>
      </c>
      <c r="C1483" s="5">
        <v>45486</v>
      </c>
      <c r="D1483">
        <v>50</v>
      </c>
      <c r="E1483">
        <f>WEEKNUM(Append321[[#This Row],[Date]])</f>
        <v>28</v>
      </c>
    </row>
    <row r="1484" spans="1:5">
      <c r="A1484" t="s">
        <v>110</v>
      </c>
      <c r="B1484" t="s">
        <v>101</v>
      </c>
      <c r="C1484" s="5">
        <v>45487</v>
      </c>
      <c r="D1484">
        <v>58</v>
      </c>
      <c r="E1484">
        <f>WEEKNUM(Append321[[#This Row],[Date]])</f>
        <v>29</v>
      </c>
    </row>
    <row r="1485" spans="1:5">
      <c r="A1485" t="s">
        <v>110</v>
      </c>
      <c r="B1485" t="s">
        <v>101</v>
      </c>
      <c r="C1485" s="5">
        <v>45488</v>
      </c>
      <c r="D1485">
        <v>46</v>
      </c>
      <c r="E1485">
        <f>WEEKNUM(Append321[[#This Row],[Date]])</f>
        <v>29</v>
      </c>
    </row>
    <row r="1486" spans="1:5">
      <c r="A1486" t="s">
        <v>110</v>
      </c>
      <c r="B1486" t="s">
        <v>101</v>
      </c>
      <c r="C1486" s="5">
        <v>45489</v>
      </c>
      <c r="D1486">
        <v>50</v>
      </c>
      <c r="E1486">
        <f>WEEKNUM(Append321[[#This Row],[Date]])</f>
        <v>29</v>
      </c>
    </row>
    <row r="1487" spans="1:5">
      <c r="A1487" t="s">
        <v>110</v>
      </c>
      <c r="B1487" t="s">
        <v>101</v>
      </c>
      <c r="C1487" s="5">
        <v>45490</v>
      </c>
      <c r="D1487">
        <v>62</v>
      </c>
      <c r="E1487">
        <f>WEEKNUM(Append321[[#This Row],[Date]])</f>
        <v>29</v>
      </c>
    </row>
    <row r="1488" spans="1:5">
      <c r="A1488" t="s">
        <v>110</v>
      </c>
      <c r="B1488" t="s">
        <v>101</v>
      </c>
      <c r="C1488" s="5">
        <v>45491</v>
      </c>
      <c r="D1488">
        <v>60</v>
      </c>
      <c r="E1488">
        <f>WEEKNUM(Append321[[#This Row],[Date]])</f>
        <v>29</v>
      </c>
    </row>
    <row r="1489" spans="1:5">
      <c r="A1489" t="s">
        <v>110</v>
      </c>
      <c r="B1489" t="s">
        <v>101</v>
      </c>
      <c r="C1489" s="5">
        <v>45492</v>
      </c>
      <c r="D1489">
        <v>50</v>
      </c>
      <c r="E1489">
        <f>WEEKNUM(Append321[[#This Row],[Date]])</f>
        <v>29</v>
      </c>
    </row>
    <row r="1490" spans="1:5">
      <c r="A1490" t="s">
        <v>110</v>
      </c>
      <c r="B1490" t="s">
        <v>101</v>
      </c>
      <c r="C1490" s="5">
        <v>45493</v>
      </c>
      <c r="D1490">
        <v>60</v>
      </c>
      <c r="E1490">
        <f>WEEKNUM(Append321[[#This Row],[Date]])</f>
        <v>29</v>
      </c>
    </row>
    <row r="1491" spans="1:5">
      <c r="A1491" t="s">
        <v>110</v>
      </c>
      <c r="B1491" t="s">
        <v>101</v>
      </c>
      <c r="C1491" s="5">
        <v>45494</v>
      </c>
      <c r="D1491">
        <v>50</v>
      </c>
      <c r="E1491">
        <f>WEEKNUM(Append321[[#This Row],[Date]])</f>
        <v>30</v>
      </c>
    </row>
    <row r="1492" spans="1:5">
      <c r="A1492" t="s">
        <v>110</v>
      </c>
      <c r="B1492" t="s">
        <v>101</v>
      </c>
      <c r="C1492" s="5">
        <v>45495</v>
      </c>
      <c r="D1492">
        <v>32</v>
      </c>
      <c r="E1492">
        <f>WEEKNUM(Append321[[#This Row],[Date]])</f>
        <v>30</v>
      </c>
    </row>
    <row r="1493" spans="1:5">
      <c r="A1493" t="s">
        <v>110</v>
      </c>
      <c r="B1493" t="s">
        <v>101</v>
      </c>
      <c r="C1493" s="5">
        <v>45496</v>
      </c>
      <c r="D1493">
        <v>57</v>
      </c>
      <c r="E1493">
        <f>WEEKNUM(Append321[[#This Row],[Date]])</f>
        <v>30</v>
      </c>
    </row>
    <row r="1494" spans="1:5">
      <c r="A1494" t="s">
        <v>110</v>
      </c>
      <c r="B1494" t="s">
        <v>101</v>
      </c>
      <c r="C1494" s="5">
        <v>45497</v>
      </c>
      <c r="D1494">
        <v>74</v>
      </c>
      <c r="E1494">
        <f>WEEKNUM(Append321[[#This Row],[Date]])</f>
        <v>30</v>
      </c>
    </row>
    <row r="1495" spans="1:5">
      <c r="A1495" t="s">
        <v>110</v>
      </c>
      <c r="B1495" t="s">
        <v>101</v>
      </c>
      <c r="C1495" s="5">
        <v>45498</v>
      </c>
      <c r="D1495">
        <v>74</v>
      </c>
      <c r="E1495">
        <f>WEEKNUM(Append321[[#This Row],[Date]])</f>
        <v>30</v>
      </c>
    </row>
    <row r="1496" spans="1:5">
      <c r="A1496" t="s">
        <v>110</v>
      </c>
      <c r="B1496" t="s">
        <v>101</v>
      </c>
      <c r="C1496" s="5">
        <v>45499</v>
      </c>
      <c r="D1496">
        <v>81</v>
      </c>
      <c r="E1496">
        <f>WEEKNUM(Append321[[#This Row],[Date]])</f>
        <v>30</v>
      </c>
    </row>
    <row r="1497" spans="1:5">
      <c r="A1497" t="s">
        <v>110</v>
      </c>
      <c r="B1497" t="s">
        <v>101</v>
      </c>
      <c r="C1497" s="5">
        <v>45500</v>
      </c>
      <c r="D1497">
        <v>78</v>
      </c>
      <c r="E1497">
        <f>WEEKNUM(Append321[[#This Row],[Date]])</f>
        <v>30</v>
      </c>
    </row>
    <row r="1498" spans="1:5">
      <c r="A1498" t="s">
        <v>110</v>
      </c>
      <c r="B1498" t="s">
        <v>101</v>
      </c>
      <c r="C1498" s="5">
        <v>45501</v>
      </c>
      <c r="D1498">
        <v>74</v>
      </c>
      <c r="E1498">
        <f>WEEKNUM(Append321[[#This Row],[Date]])</f>
        <v>31</v>
      </c>
    </row>
    <row r="1499" spans="1:5">
      <c r="A1499" t="s">
        <v>110</v>
      </c>
      <c r="B1499" t="s">
        <v>101</v>
      </c>
      <c r="C1499" s="5">
        <v>45502</v>
      </c>
      <c r="D1499">
        <v>66</v>
      </c>
      <c r="E1499">
        <f>WEEKNUM(Append321[[#This Row],[Date]])</f>
        <v>31</v>
      </c>
    </row>
    <row r="1500" spans="1:5">
      <c r="A1500" t="s">
        <v>110</v>
      </c>
      <c r="B1500" t="s">
        <v>101</v>
      </c>
      <c r="C1500" s="5">
        <v>45503</v>
      </c>
      <c r="D1500">
        <v>58</v>
      </c>
      <c r="E1500">
        <f>WEEKNUM(Append321[[#This Row],[Date]])</f>
        <v>31</v>
      </c>
    </row>
    <row r="1501" spans="1:5">
      <c r="A1501" t="s">
        <v>110</v>
      </c>
      <c r="B1501" t="s">
        <v>101</v>
      </c>
      <c r="C1501" s="5">
        <v>45504</v>
      </c>
      <c r="D1501">
        <v>58</v>
      </c>
      <c r="E1501">
        <f>WEEKNUM(Append321[[#This Row],[Date]])</f>
        <v>31</v>
      </c>
    </row>
    <row r="1502" spans="1:5">
      <c r="A1502" t="s">
        <v>110</v>
      </c>
      <c r="B1502" t="s">
        <v>101</v>
      </c>
      <c r="C1502" s="5">
        <v>45505</v>
      </c>
      <c r="D1502">
        <v>74</v>
      </c>
      <c r="E1502">
        <f>WEEKNUM(Append321[[#This Row],[Date]])</f>
        <v>31</v>
      </c>
    </row>
    <row r="1503" spans="1:5">
      <c r="A1503" t="s">
        <v>110</v>
      </c>
      <c r="B1503" t="s">
        <v>101</v>
      </c>
      <c r="C1503" s="5">
        <v>45506</v>
      </c>
      <c r="D1503">
        <v>77</v>
      </c>
      <c r="E1503">
        <f>WEEKNUM(Append321[[#This Row],[Date]])</f>
        <v>31</v>
      </c>
    </row>
    <row r="1504" spans="1:5">
      <c r="A1504" t="s">
        <v>110</v>
      </c>
      <c r="B1504" t="s">
        <v>101</v>
      </c>
      <c r="C1504" s="5">
        <v>45507</v>
      </c>
      <c r="D1504">
        <v>87</v>
      </c>
      <c r="E1504">
        <f>WEEKNUM(Append321[[#This Row],[Date]])</f>
        <v>31</v>
      </c>
    </row>
    <row r="1505" spans="1:5">
      <c r="A1505" t="s">
        <v>110</v>
      </c>
      <c r="B1505" t="s">
        <v>101</v>
      </c>
      <c r="C1505" s="5">
        <v>45508</v>
      </c>
      <c r="D1505">
        <v>70</v>
      </c>
      <c r="E1505">
        <f>WEEKNUM(Append321[[#This Row],[Date]])</f>
        <v>32</v>
      </c>
    </row>
    <row r="1506" spans="1:5">
      <c r="A1506" t="s">
        <v>110</v>
      </c>
      <c r="B1506" t="s">
        <v>101</v>
      </c>
      <c r="C1506" s="5">
        <v>45509</v>
      </c>
      <c r="D1506">
        <v>76</v>
      </c>
      <c r="E1506">
        <f>WEEKNUM(Append321[[#This Row],[Date]])</f>
        <v>32</v>
      </c>
    </row>
    <row r="1507" spans="1:5">
      <c r="A1507" t="s">
        <v>110</v>
      </c>
      <c r="B1507" t="s">
        <v>101</v>
      </c>
      <c r="C1507" s="5">
        <v>45510</v>
      </c>
      <c r="D1507">
        <v>45</v>
      </c>
      <c r="E1507">
        <f>WEEKNUM(Append321[[#This Row],[Date]])</f>
        <v>32</v>
      </c>
    </row>
    <row r="1508" spans="1:5">
      <c r="A1508" t="s">
        <v>110</v>
      </c>
      <c r="B1508" t="s">
        <v>101</v>
      </c>
      <c r="C1508" s="5">
        <v>45511</v>
      </c>
      <c r="D1508">
        <v>61</v>
      </c>
      <c r="E1508">
        <f>WEEKNUM(Append321[[#This Row],[Date]])</f>
        <v>32</v>
      </c>
    </row>
    <row r="1509" spans="1:5">
      <c r="A1509" t="s">
        <v>110</v>
      </c>
      <c r="B1509" t="s">
        <v>101</v>
      </c>
      <c r="C1509" s="5">
        <v>45512</v>
      </c>
      <c r="D1509">
        <v>51</v>
      </c>
      <c r="E1509">
        <f>WEEKNUM(Append321[[#This Row],[Date]])</f>
        <v>32</v>
      </c>
    </row>
    <row r="1510" spans="1:5">
      <c r="A1510" t="s">
        <v>110</v>
      </c>
      <c r="B1510" t="s">
        <v>101</v>
      </c>
      <c r="C1510" s="5">
        <v>45513</v>
      </c>
      <c r="D1510">
        <v>41</v>
      </c>
      <c r="E1510">
        <f>WEEKNUM(Append321[[#This Row],[Date]])</f>
        <v>32</v>
      </c>
    </row>
    <row r="1511" spans="1:5">
      <c r="A1511" t="s">
        <v>110</v>
      </c>
      <c r="B1511" t="s">
        <v>101</v>
      </c>
      <c r="C1511" s="5">
        <v>45514</v>
      </c>
      <c r="D1511">
        <v>77</v>
      </c>
      <c r="E1511">
        <f>WEEKNUM(Append321[[#This Row],[Date]])</f>
        <v>32</v>
      </c>
    </row>
    <row r="1512" spans="1:5">
      <c r="A1512" t="s">
        <v>110</v>
      </c>
      <c r="B1512" t="s">
        <v>101</v>
      </c>
      <c r="C1512" s="5">
        <v>45515</v>
      </c>
      <c r="D1512">
        <v>53</v>
      </c>
      <c r="E1512">
        <f>WEEKNUM(Append321[[#This Row],[Date]])</f>
        <v>33</v>
      </c>
    </row>
    <row r="1513" spans="1:5">
      <c r="A1513" t="s">
        <v>110</v>
      </c>
      <c r="B1513" t="s">
        <v>101</v>
      </c>
      <c r="C1513" s="5">
        <v>45516</v>
      </c>
      <c r="D1513">
        <v>50</v>
      </c>
      <c r="E1513">
        <f>WEEKNUM(Append321[[#This Row],[Date]])</f>
        <v>33</v>
      </c>
    </row>
    <row r="1514" spans="1:5">
      <c r="A1514" t="s">
        <v>110</v>
      </c>
      <c r="B1514" t="s">
        <v>101</v>
      </c>
      <c r="C1514" s="5">
        <v>45517</v>
      </c>
      <c r="D1514">
        <v>67</v>
      </c>
      <c r="E1514">
        <f>WEEKNUM(Append321[[#This Row],[Date]])</f>
        <v>33</v>
      </c>
    </row>
    <row r="1515" spans="1:5">
      <c r="A1515" t="s">
        <v>110</v>
      </c>
      <c r="B1515" t="s">
        <v>101</v>
      </c>
      <c r="C1515" s="5">
        <v>45518</v>
      </c>
      <c r="D1515">
        <v>76</v>
      </c>
      <c r="E1515">
        <f>WEEKNUM(Append321[[#This Row],[Date]])</f>
        <v>33</v>
      </c>
    </row>
    <row r="1516" spans="1:5">
      <c r="A1516" t="s">
        <v>110</v>
      </c>
      <c r="B1516" t="s">
        <v>101</v>
      </c>
      <c r="C1516" s="5">
        <v>45519</v>
      </c>
      <c r="D1516">
        <v>91</v>
      </c>
      <c r="E1516">
        <f>WEEKNUM(Append321[[#This Row],[Date]])</f>
        <v>33</v>
      </c>
    </row>
    <row r="1517" spans="1:5">
      <c r="A1517" t="s">
        <v>110</v>
      </c>
      <c r="B1517" t="s">
        <v>101</v>
      </c>
      <c r="C1517" s="5">
        <v>45520</v>
      </c>
      <c r="D1517">
        <v>63</v>
      </c>
      <c r="E1517">
        <f>WEEKNUM(Append321[[#This Row],[Date]])</f>
        <v>33</v>
      </c>
    </row>
    <row r="1518" spans="1:5">
      <c r="A1518" t="s">
        <v>110</v>
      </c>
      <c r="B1518" t="s">
        <v>101</v>
      </c>
      <c r="C1518" s="5">
        <v>45521</v>
      </c>
      <c r="D1518">
        <v>81</v>
      </c>
      <c r="E1518">
        <f>WEEKNUM(Append321[[#This Row],[Date]])</f>
        <v>33</v>
      </c>
    </row>
    <row r="1519" spans="1:5">
      <c r="A1519" t="s">
        <v>110</v>
      </c>
      <c r="B1519" t="s">
        <v>101</v>
      </c>
      <c r="C1519" s="5">
        <v>45522</v>
      </c>
      <c r="D1519">
        <v>63</v>
      </c>
      <c r="E1519">
        <f>WEEKNUM(Append321[[#This Row],[Date]])</f>
        <v>34</v>
      </c>
    </row>
    <row r="1520" spans="1:5">
      <c r="A1520" t="s">
        <v>110</v>
      </c>
      <c r="B1520" t="s">
        <v>101</v>
      </c>
      <c r="C1520" s="5">
        <v>45523</v>
      </c>
      <c r="D1520">
        <v>62</v>
      </c>
      <c r="E1520">
        <f>WEEKNUM(Append321[[#This Row],[Date]])</f>
        <v>34</v>
      </c>
    </row>
    <row r="1521" spans="1:5">
      <c r="A1521" t="s">
        <v>110</v>
      </c>
      <c r="B1521" t="s">
        <v>101</v>
      </c>
      <c r="C1521" s="5">
        <v>45524</v>
      </c>
      <c r="D1521">
        <v>50</v>
      </c>
      <c r="E1521">
        <f>WEEKNUM(Append321[[#This Row],[Date]])</f>
        <v>34</v>
      </c>
    </row>
    <row r="1522" spans="1:5">
      <c r="A1522" t="s">
        <v>110</v>
      </c>
      <c r="B1522" t="s">
        <v>101</v>
      </c>
      <c r="C1522" s="5">
        <v>45525</v>
      </c>
      <c r="D1522">
        <v>55</v>
      </c>
      <c r="E1522">
        <f>WEEKNUM(Append321[[#This Row],[Date]])</f>
        <v>34</v>
      </c>
    </row>
    <row r="1523" spans="1:5">
      <c r="A1523" t="s">
        <v>110</v>
      </c>
      <c r="B1523" t="s">
        <v>101</v>
      </c>
      <c r="C1523" s="5">
        <v>45526</v>
      </c>
      <c r="D1523">
        <v>53</v>
      </c>
      <c r="E1523">
        <f>WEEKNUM(Append321[[#This Row],[Date]])</f>
        <v>34</v>
      </c>
    </row>
    <row r="1524" spans="1:5">
      <c r="A1524" t="s">
        <v>110</v>
      </c>
      <c r="B1524" t="s">
        <v>101</v>
      </c>
      <c r="C1524" s="5">
        <v>45527</v>
      </c>
      <c r="D1524">
        <v>59</v>
      </c>
      <c r="E1524">
        <f>WEEKNUM(Append321[[#This Row],[Date]])</f>
        <v>34</v>
      </c>
    </row>
    <row r="1525" spans="1:5">
      <c r="A1525" t="s">
        <v>110</v>
      </c>
      <c r="B1525" t="s">
        <v>101</v>
      </c>
      <c r="C1525" s="5">
        <v>45528</v>
      </c>
      <c r="D1525">
        <v>65</v>
      </c>
      <c r="E1525">
        <f>WEEKNUM(Append321[[#This Row],[Date]])</f>
        <v>34</v>
      </c>
    </row>
    <row r="1526" spans="1:5">
      <c r="A1526" t="s">
        <v>110</v>
      </c>
      <c r="B1526" t="s">
        <v>101</v>
      </c>
      <c r="C1526" s="5">
        <v>45529</v>
      </c>
      <c r="D1526">
        <v>58</v>
      </c>
      <c r="E1526">
        <f>WEEKNUM(Append321[[#This Row],[Date]])</f>
        <v>35</v>
      </c>
    </row>
    <row r="1527" spans="1:5">
      <c r="A1527" t="s">
        <v>110</v>
      </c>
      <c r="B1527" t="s">
        <v>101</v>
      </c>
      <c r="C1527" s="5">
        <v>45530</v>
      </c>
      <c r="D1527">
        <v>57</v>
      </c>
      <c r="E1527">
        <f>WEEKNUM(Append321[[#This Row],[Date]])</f>
        <v>35</v>
      </c>
    </row>
    <row r="1528" spans="1:5">
      <c r="A1528" t="s">
        <v>110</v>
      </c>
      <c r="B1528" t="s">
        <v>101</v>
      </c>
      <c r="C1528" s="5">
        <v>45531</v>
      </c>
      <c r="D1528">
        <v>49</v>
      </c>
      <c r="E1528">
        <f>WEEKNUM(Append321[[#This Row],[Date]])</f>
        <v>35</v>
      </c>
    </row>
    <row r="1529" spans="1:5">
      <c r="A1529" t="s">
        <v>110</v>
      </c>
      <c r="B1529" t="s">
        <v>101</v>
      </c>
      <c r="C1529" s="5">
        <v>45532</v>
      </c>
      <c r="D1529">
        <v>54</v>
      </c>
      <c r="E1529">
        <f>WEEKNUM(Append321[[#This Row],[Date]])</f>
        <v>35</v>
      </c>
    </row>
    <row r="1530" spans="1:5">
      <c r="A1530" t="s">
        <v>110</v>
      </c>
      <c r="B1530" t="s">
        <v>101</v>
      </c>
      <c r="C1530" s="5">
        <v>45533</v>
      </c>
      <c r="D1530">
        <v>66</v>
      </c>
      <c r="E1530">
        <f>WEEKNUM(Append321[[#This Row],[Date]])</f>
        <v>35</v>
      </c>
    </row>
    <row r="1531" spans="1:5">
      <c r="A1531" t="s">
        <v>110</v>
      </c>
      <c r="B1531" t="s">
        <v>101</v>
      </c>
      <c r="C1531" s="5">
        <v>45534</v>
      </c>
      <c r="D1531">
        <v>71</v>
      </c>
      <c r="E1531">
        <f>WEEKNUM(Append321[[#This Row],[Date]])</f>
        <v>35</v>
      </c>
    </row>
    <row r="1532" spans="1:5">
      <c r="A1532" t="s">
        <v>110</v>
      </c>
      <c r="B1532" t="s">
        <v>101</v>
      </c>
      <c r="C1532" s="5">
        <v>45535</v>
      </c>
      <c r="D1532">
        <v>78</v>
      </c>
      <c r="E1532">
        <f>WEEKNUM(Append321[[#This Row],[Date]])</f>
        <v>35</v>
      </c>
    </row>
    <row r="1533" spans="1:5">
      <c r="A1533" t="s">
        <v>110</v>
      </c>
      <c r="B1533" t="s">
        <v>103</v>
      </c>
      <c r="C1533" s="5">
        <v>45444</v>
      </c>
      <c r="D1533">
        <v>28</v>
      </c>
      <c r="E1533">
        <f>WEEKNUM(Append321[[#This Row],[Date]])</f>
        <v>22</v>
      </c>
    </row>
    <row r="1534" spans="1:5">
      <c r="A1534" t="s">
        <v>110</v>
      </c>
      <c r="B1534" t="s">
        <v>103</v>
      </c>
      <c r="C1534" s="5">
        <v>45445</v>
      </c>
      <c r="D1534">
        <v>13</v>
      </c>
      <c r="E1534">
        <f>WEEKNUM(Append321[[#This Row],[Date]])</f>
        <v>23</v>
      </c>
    </row>
    <row r="1535" spans="1:5">
      <c r="A1535" t="s">
        <v>110</v>
      </c>
      <c r="B1535" t="s">
        <v>103</v>
      </c>
      <c r="C1535" s="5">
        <v>45446</v>
      </c>
      <c r="D1535">
        <v>18</v>
      </c>
      <c r="E1535">
        <f>WEEKNUM(Append321[[#This Row],[Date]])</f>
        <v>23</v>
      </c>
    </row>
    <row r="1536" spans="1:5">
      <c r="A1536" t="s">
        <v>110</v>
      </c>
      <c r="B1536" t="s">
        <v>103</v>
      </c>
      <c r="C1536" s="5">
        <v>45447</v>
      </c>
      <c r="D1536">
        <v>25</v>
      </c>
      <c r="E1536">
        <f>WEEKNUM(Append321[[#This Row],[Date]])</f>
        <v>23</v>
      </c>
    </row>
    <row r="1537" spans="1:5">
      <c r="A1537" t="s">
        <v>110</v>
      </c>
      <c r="B1537" t="s">
        <v>103</v>
      </c>
      <c r="C1537" s="5">
        <v>45448</v>
      </c>
      <c r="D1537">
        <v>22</v>
      </c>
      <c r="E1537">
        <f>WEEKNUM(Append321[[#This Row],[Date]])</f>
        <v>23</v>
      </c>
    </row>
    <row r="1538" spans="1:5">
      <c r="A1538" t="s">
        <v>110</v>
      </c>
      <c r="B1538" t="s">
        <v>103</v>
      </c>
      <c r="C1538" s="5">
        <v>45449</v>
      </c>
      <c r="D1538">
        <v>24</v>
      </c>
      <c r="E1538">
        <f>WEEKNUM(Append321[[#This Row],[Date]])</f>
        <v>23</v>
      </c>
    </row>
    <row r="1539" spans="1:5">
      <c r="A1539" t="s">
        <v>110</v>
      </c>
      <c r="B1539" t="s">
        <v>103</v>
      </c>
      <c r="C1539" s="5">
        <v>45450</v>
      </c>
      <c r="D1539">
        <v>22</v>
      </c>
      <c r="E1539">
        <f>WEEKNUM(Append321[[#This Row],[Date]])</f>
        <v>23</v>
      </c>
    </row>
    <row r="1540" spans="1:5">
      <c r="A1540" t="s">
        <v>110</v>
      </c>
      <c r="B1540" t="s">
        <v>103</v>
      </c>
      <c r="C1540" s="5">
        <v>45451</v>
      </c>
      <c r="D1540">
        <v>32</v>
      </c>
      <c r="E1540">
        <f>WEEKNUM(Append321[[#This Row],[Date]])</f>
        <v>23</v>
      </c>
    </row>
    <row r="1541" spans="1:5">
      <c r="A1541" t="s">
        <v>110</v>
      </c>
      <c r="B1541" t="s">
        <v>103</v>
      </c>
      <c r="C1541" s="5">
        <v>45452</v>
      </c>
      <c r="D1541">
        <v>20</v>
      </c>
      <c r="E1541">
        <f>WEEKNUM(Append321[[#This Row],[Date]])</f>
        <v>24</v>
      </c>
    </row>
    <row r="1542" spans="1:5">
      <c r="A1542" t="s">
        <v>110</v>
      </c>
      <c r="B1542" t="s">
        <v>103</v>
      </c>
      <c r="C1542" s="5">
        <v>45453</v>
      </c>
      <c r="D1542">
        <v>22</v>
      </c>
      <c r="E1542">
        <f>WEEKNUM(Append321[[#This Row],[Date]])</f>
        <v>24</v>
      </c>
    </row>
    <row r="1543" spans="1:5">
      <c r="A1543" t="s">
        <v>110</v>
      </c>
      <c r="B1543" t="s">
        <v>103</v>
      </c>
      <c r="C1543" s="5">
        <v>45454</v>
      </c>
      <c r="D1543">
        <v>23</v>
      </c>
      <c r="E1543">
        <f>WEEKNUM(Append321[[#This Row],[Date]])</f>
        <v>24</v>
      </c>
    </row>
    <row r="1544" spans="1:5">
      <c r="A1544" t="s">
        <v>110</v>
      </c>
      <c r="B1544" t="s">
        <v>103</v>
      </c>
      <c r="C1544" s="5">
        <v>45455</v>
      </c>
      <c r="D1544">
        <v>25</v>
      </c>
      <c r="E1544">
        <f>WEEKNUM(Append321[[#This Row],[Date]])</f>
        <v>24</v>
      </c>
    </row>
    <row r="1545" spans="1:5">
      <c r="A1545" t="s">
        <v>110</v>
      </c>
      <c r="B1545" t="s">
        <v>103</v>
      </c>
      <c r="C1545" s="5">
        <v>45456</v>
      </c>
      <c r="D1545">
        <v>25</v>
      </c>
      <c r="E1545">
        <f>WEEKNUM(Append321[[#This Row],[Date]])</f>
        <v>24</v>
      </c>
    </row>
    <row r="1546" spans="1:5">
      <c r="A1546" t="s">
        <v>110</v>
      </c>
      <c r="B1546" t="s">
        <v>103</v>
      </c>
      <c r="C1546" s="5">
        <v>45457</v>
      </c>
      <c r="D1546">
        <v>29</v>
      </c>
      <c r="E1546">
        <f>WEEKNUM(Append321[[#This Row],[Date]])</f>
        <v>24</v>
      </c>
    </row>
    <row r="1547" spans="1:5">
      <c r="A1547" t="s">
        <v>110</v>
      </c>
      <c r="B1547" t="s">
        <v>103</v>
      </c>
      <c r="C1547" s="5">
        <v>45458</v>
      </c>
      <c r="D1547">
        <v>35</v>
      </c>
      <c r="E1547">
        <f>WEEKNUM(Append321[[#This Row],[Date]])</f>
        <v>24</v>
      </c>
    </row>
    <row r="1548" spans="1:5">
      <c r="A1548" t="s">
        <v>110</v>
      </c>
      <c r="B1548" t="s">
        <v>103</v>
      </c>
      <c r="C1548" s="5">
        <v>45459</v>
      </c>
      <c r="D1548">
        <v>25</v>
      </c>
      <c r="E1548">
        <f>WEEKNUM(Append321[[#This Row],[Date]])</f>
        <v>25</v>
      </c>
    </row>
    <row r="1549" spans="1:5">
      <c r="A1549" t="s">
        <v>110</v>
      </c>
      <c r="B1549" t="s">
        <v>103</v>
      </c>
      <c r="C1549" s="5">
        <v>45460</v>
      </c>
      <c r="D1549">
        <v>28</v>
      </c>
      <c r="E1549">
        <f>WEEKNUM(Append321[[#This Row],[Date]])</f>
        <v>25</v>
      </c>
    </row>
    <row r="1550" spans="1:5">
      <c r="A1550" t="s">
        <v>110</v>
      </c>
      <c r="B1550" t="s">
        <v>103</v>
      </c>
      <c r="C1550" s="5">
        <v>45461</v>
      </c>
      <c r="D1550">
        <v>28</v>
      </c>
      <c r="E1550">
        <f>WEEKNUM(Append321[[#This Row],[Date]])</f>
        <v>25</v>
      </c>
    </row>
    <row r="1551" spans="1:5">
      <c r="A1551" t="s">
        <v>110</v>
      </c>
      <c r="B1551" t="s">
        <v>103</v>
      </c>
      <c r="C1551" s="5">
        <v>45462</v>
      </c>
      <c r="D1551">
        <v>27</v>
      </c>
      <c r="E1551">
        <f>WEEKNUM(Append321[[#This Row],[Date]])</f>
        <v>25</v>
      </c>
    </row>
    <row r="1552" spans="1:5">
      <c r="A1552" t="s">
        <v>110</v>
      </c>
      <c r="B1552" t="s">
        <v>103</v>
      </c>
      <c r="C1552" s="5">
        <v>45463</v>
      </c>
      <c r="D1552">
        <v>22</v>
      </c>
      <c r="E1552">
        <f>WEEKNUM(Append321[[#This Row],[Date]])</f>
        <v>25</v>
      </c>
    </row>
    <row r="1553" spans="1:5">
      <c r="A1553" t="s">
        <v>110</v>
      </c>
      <c r="B1553" t="s">
        <v>103</v>
      </c>
      <c r="C1553" s="5">
        <v>45464</v>
      </c>
      <c r="D1553">
        <v>34</v>
      </c>
      <c r="E1553">
        <f>WEEKNUM(Append321[[#This Row],[Date]])</f>
        <v>25</v>
      </c>
    </row>
    <row r="1554" spans="1:5">
      <c r="A1554" t="s">
        <v>110</v>
      </c>
      <c r="B1554" t="s">
        <v>103</v>
      </c>
      <c r="C1554" s="5">
        <v>45465</v>
      </c>
      <c r="D1554">
        <v>33</v>
      </c>
      <c r="E1554">
        <f>WEEKNUM(Append321[[#This Row],[Date]])</f>
        <v>25</v>
      </c>
    </row>
    <row r="1555" spans="1:5">
      <c r="A1555" t="s">
        <v>110</v>
      </c>
      <c r="B1555" t="s">
        <v>103</v>
      </c>
      <c r="C1555" s="5">
        <v>45466</v>
      </c>
      <c r="D1555">
        <v>30</v>
      </c>
      <c r="E1555">
        <f>WEEKNUM(Append321[[#This Row],[Date]])</f>
        <v>26</v>
      </c>
    </row>
    <row r="1556" spans="1:5">
      <c r="A1556" t="s">
        <v>110</v>
      </c>
      <c r="B1556" t="s">
        <v>103</v>
      </c>
      <c r="C1556" s="5">
        <v>45467</v>
      </c>
      <c r="D1556">
        <v>26</v>
      </c>
      <c r="E1556">
        <f>WEEKNUM(Append321[[#This Row],[Date]])</f>
        <v>26</v>
      </c>
    </row>
    <row r="1557" spans="1:5">
      <c r="A1557" t="s">
        <v>110</v>
      </c>
      <c r="B1557" t="s">
        <v>103</v>
      </c>
      <c r="C1557" s="5">
        <v>45468</v>
      </c>
      <c r="D1557">
        <v>31</v>
      </c>
      <c r="E1557">
        <f>WEEKNUM(Append321[[#This Row],[Date]])</f>
        <v>26</v>
      </c>
    </row>
    <row r="1558" spans="1:5">
      <c r="A1558" t="s">
        <v>110</v>
      </c>
      <c r="B1558" t="s">
        <v>103</v>
      </c>
      <c r="C1558" s="5">
        <v>45469</v>
      </c>
      <c r="D1558">
        <v>25</v>
      </c>
      <c r="E1558">
        <f>WEEKNUM(Append321[[#This Row],[Date]])</f>
        <v>26</v>
      </c>
    </row>
    <row r="1559" spans="1:5">
      <c r="A1559" t="s">
        <v>110</v>
      </c>
      <c r="B1559" t="s">
        <v>103</v>
      </c>
      <c r="C1559" s="5">
        <v>45470</v>
      </c>
      <c r="D1559">
        <v>22</v>
      </c>
      <c r="E1559">
        <f>WEEKNUM(Append321[[#This Row],[Date]])</f>
        <v>26</v>
      </c>
    </row>
    <row r="1560" spans="1:5">
      <c r="A1560" t="s">
        <v>110</v>
      </c>
      <c r="B1560" t="s">
        <v>103</v>
      </c>
      <c r="C1560" s="5">
        <v>45471</v>
      </c>
      <c r="D1560">
        <v>34</v>
      </c>
      <c r="E1560">
        <f>WEEKNUM(Append321[[#This Row],[Date]])</f>
        <v>26</v>
      </c>
    </row>
    <row r="1561" spans="1:5">
      <c r="A1561" t="s">
        <v>110</v>
      </c>
      <c r="B1561" t="s">
        <v>103</v>
      </c>
      <c r="C1561" s="5">
        <v>45472</v>
      </c>
      <c r="D1561">
        <v>30</v>
      </c>
      <c r="E1561">
        <f>WEEKNUM(Append321[[#This Row],[Date]])</f>
        <v>26</v>
      </c>
    </row>
    <row r="1562" spans="1:5">
      <c r="A1562" t="s">
        <v>110</v>
      </c>
      <c r="B1562" t="s">
        <v>103</v>
      </c>
      <c r="C1562" s="5">
        <v>45473</v>
      </c>
      <c r="D1562">
        <v>31</v>
      </c>
      <c r="E1562">
        <f>WEEKNUM(Append321[[#This Row],[Date]])</f>
        <v>27</v>
      </c>
    </row>
    <row r="1563" spans="1:5">
      <c r="A1563" t="s">
        <v>110</v>
      </c>
      <c r="B1563" t="s">
        <v>103</v>
      </c>
      <c r="C1563" s="5">
        <v>45474</v>
      </c>
      <c r="D1563">
        <v>40</v>
      </c>
      <c r="E1563">
        <f>WEEKNUM(Append321[[#This Row],[Date]])</f>
        <v>27</v>
      </c>
    </row>
    <row r="1564" spans="1:5">
      <c r="A1564" t="s">
        <v>110</v>
      </c>
      <c r="B1564" t="s">
        <v>103</v>
      </c>
      <c r="C1564" s="5">
        <v>45475</v>
      </c>
      <c r="D1564">
        <v>40</v>
      </c>
      <c r="E1564">
        <f>WEEKNUM(Append321[[#This Row],[Date]])</f>
        <v>27</v>
      </c>
    </row>
    <row r="1565" spans="1:5">
      <c r="A1565" t="s">
        <v>110</v>
      </c>
      <c r="B1565" t="s">
        <v>103</v>
      </c>
      <c r="C1565" s="5">
        <v>45476</v>
      </c>
      <c r="D1565">
        <v>54</v>
      </c>
      <c r="E1565">
        <f>WEEKNUM(Append321[[#This Row],[Date]])</f>
        <v>27</v>
      </c>
    </row>
    <row r="1566" spans="1:5">
      <c r="A1566" t="s">
        <v>110</v>
      </c>
      <c r="B1566" t="s">
        <v>103</v>
      </c>
      <c r="C1566" s="5">
        <v>45477</v>
      </c>
      <c r="D1566">
        <v>62</v>
      </c>
      <c r="E1566">
        <f>WEEKNUM(Append321[[#This Row],[Date]])</f>
        <v>27</v>
      </c>
    </row>
    <row r="1567" spans="1:5">
      <c r="A1567" t="s">
        <v>110</v>
      </c>
      <c r="B1567" t="s">
        <v>103</v>
      </c>
      <c r="C1567" s="5">
        <v>45478</v>
      </c>
      <c r="D1567">
        <v>52</v>
      </c>
      <c r="E1567">
        <f>WEEKNUM(Append321[[#This Row],[Date]])</f>
        <v>27</v>
      </c>
    </row>
    <row r="1568" spans="1:5">
      <c r="A1568" t="s">
        <v>110</v>
      </c>
      <c r="B1568" t="s">
        <v>103</v>
      </c>
      <c r="C1568" s="5">
        <v>45479</v>
      </c>
      <c r="D1568">
        <v>73</v>
      </c>
      <c r="E1568">
        <f>WEEKNUM(Append321[[#This Row],[Date]])</f>
        <v>27</v>
      </c>
    </row>
    <row r="1569" spans="1:5">
      <c r="A1569" t="s">
        <v>110</v>
      </c>
      <c r="B1569" t="s">
        <v>103</v>
      </c>
      <c r="C1569" s="5">
        <v>45480</v>
      </c>
      <c r="D1569">
        <v>38</v>
      </c>
      <c r="E1569">
        <f>WEEKNUM(Append321[[#This Row],[Date]])</f>
        <v>28</v>
      </c>
    </row>
    <row r="1570" spans="1:5">
      <c r="A1570" t="s">
        <v>110</v>
      </c>
      <c r="B1570" t="s">
        <v>103</v>
      </c>
      <c r="C1570" s="5">
        <v>45481</v>
      </c>
      <c r="D1570">
        <v>36</v>
      </c>
      <c r="E1570">
        <f>WEEKNUM(Append321[[#This Row],[Date]])</f>
        <v>28</v>
      </c>
    </row>
    <row r="1571" spans="1:5">
      <c r="A1571" t="s">
        <v>110</v>
      </c>
      <c r="B1571" t="s">
        <v>103</v>
      </c>
      <c r="C1571" s="5">
        <v>45482</v>
      </c>
      <c r="D1571">
        <v>47</v>
      </c>
      <c r="E1571">
        <f>WEEKNUM(Append321[[#This Row],[Date]])</f>
        <v>28</v>
      </c>
    </row>
    <row r="1572" spans="1:5">
      <c r="A1572" t="s">
        <v>110</v>
      </c>
      <c r="B1572" t="s">
        <v>103</v>
      </c>
      <c r="C1572" s="5">
        <v>45483</v>
      </c>
      <c r="D1572">
        <v>31</v>
      </c>
      <c r="E1572">
        <f>WEEKNUM(Append321[[#This Row],[Date]])</f>
        <v>28</v>
      </c>
    </row>
    <row r="1573" spans="1:5">
      <c r="A1573" t="s">
        <v>110</v>
      </c>
      <c r="B1573" t="s">
        <v>103</v>
      </c>
      <c r="C1573" s="5">
        <v>45484</v>
      </c>
      <c r="D1573">
        <v>46</v>
      </c>
      <c r="E1573">
        <f>WEEKNUM(Append321[[#This Row],[Date]])</f>
        <v>28</v>
      </c>
    </row>
    <row r="1574" spans="1:5">
      <c r="A1574" t="s">
        <v>110</v>
      </c>
      <c r="B1574" t="s">
        <v>103</v>
      </c>
      <c r="C1574" s="5">
        <v>45485</v>
      </c>
      <c r="D1574">
        <v>45</v>
      </c>
      <c r="E1574">
        <f>WEEKNUM(Append321[[#This Row],[Date]])</f>
        <v>28</v>
      </c>
    </row>
    <row r="1575" spans="1:5">
      <c r="A1575" t="s">
        <v>110</v>
      </c>
      <c r="B1575" t="s">
        <v>103</v>
      </c>
      <c r="C1575" s="5">
        <v>45486</v>
      </c>
      <c r="D1575">
        <v>55</v>
      </c>
      <c r="E1575">
        <f>WEEKNUM(Append321[[#This Row],[Date]])</f>
        <v>28</v>
      </c>
    </row>
    <row r="1576" spans="1:5">
      <c r="A1576" t="s">
        <v>110</v>
      </c>
      <c r="B1576" t="s">
        <v>103</v>
      </c>
      <c r="C1576" s="5">
        <v>45487</v>
      </c>
      <c r="D1576">
        <v>35</v>
      </c>
      <c r="E1576">
        <f>WEEKNUM(Append321[[#This Row],[Date]])</f>
        <v>29</v>
      </c>
    </row>
    <row r="1577" spans="1:5">
      <c r="A1577" t="s">
        <v>110</v>
      </c>
      <c r="B1577" t="s">
        <v>103</v>
      </c>
      <c r="C1577" s="5">
        <v>45488</v>
      </c>
      <c r="D1577">
        <v>47</v>
      </c>
      <c r="E1577">
        <f>WEEKNUM(Append321[[#This Row],[Date]])</f>
        <v>29</v>
      </c>
    </row>
    <row r="1578" spans="1:5">
      <c r="A1578" t="s">
        <v>110</v>
      </c>
      <c r="B1578" t="s">
        <v>103</v>
      </c>
      <c r="C1578" s="5">
        <v>45489</v>
      </c>
      <c r="D1578">
        <v>45</v>
      </c>
      <c r="E1578">
        <f>WEEKNUM(Append321[[#This Row],[Date]])</f>
        <v>29</v>
      </c>
    </row>
    <row r="1579" spans="1:5">
      <c r="A1579" t="s">
        <v>110</v>
      </c>
      <c r="B1579" t="s">
        <v>103</v>
      </c>
      <c r="C1579" s="5">
        <v>45490</v>
      </c>
      <c r="D1579">
        <v>35</v>
      </c>
      <c r="E1579">
        <f>WEEKNUM(Append321[[#This Row],[Date]])</f>
        <v>29</v>
      </c>
    </row>
    <row r="1580" spans="1:5">
      <c r="A1580" t="s">
        <v>110</v>
      </c>
      <c r="B1580" t="s">
        <v>103</v>
      </c>
      <c r="C1580" s="5">
        <v>45491</v>
      </c>
      <c r="D1580">
        <v>35</v>
      </c>
      <c r="E1580">
        <f>WEEKNUM(Append321[[#This Row],[Date]])</f>
        <v>29</v>
      </c>
    </row>
    <row r="1581" spans="1:5">
      <c r="A1581" t="s">
        <v>110</v>
      </c>
      <c r="B1581" t="s">
        <v>103</v>
      </c>
      <c r="C1581" s="5">
        <v>45492</v>
      </c>
      <c r="D1581">
        <v>50</v>
      </c>
      <c r="E1581">
        <f>WEEKNUM(Append321[[#This Row],[Date]])</f>
        <v>29</v>
      </c>
    </row>
    <row r="1582" spans="1:5">
      <c r="A1582" t="s">
        <v>110</v>
      </c>
      <c r="B1582" t="s">
        <v>103</v>
      </c>
      <c r="C1582" s="5">
        <v>45493</v>
      </c>
      <c r="D1582">
        <v>61</v>
      </c>
      <c r="E1582">
        <f>WEEKNUM(Append321[[#This Row],[Date]])</f>
        <v>29</v>
      </c>
    </row>
    <row r="1583" spans="1:5">
      <c r="A1583" t="s">
        <v>110</v>
      </c>
      <c r="B1583" t="s">
        <v>103</v>
      </c>
      <c r="C1583" s="5">
        <v>45494</v>
      </c>
      <c r="D1583">
        <v>42</v>
      </c>
      <c r="E1583">
        <f>WEEKNUM(Append321[[#This Row],[Date]])</f>
        <v>30</v>
      </c>
    </row>
    <row r="1584" spans="1:5">
      <c r="A1584" t="s">
        <v>110</v>
      </c>
      <c r="B1584" t="s">
        <v>103</v>
      </c>
      <c r="C1584" s="5">
        <v>45495</v>
      </c>
      <c r="D1584">
        <v>37</v>
      </c>
      <c r="E1584">
        <f>WEEKNUM(Append321[[#This Row],[Date]])</f>
        <v>30</v>
      </c>
    </row>
    <row r="1585" spans="1:5">
      <c r="A1585" t="s">
        <v>110</v>
      </c>
      <c r="B1585" t="s">
        <v>103</v>
      </c>
      <c r="C1585" s="5">
        <v>45496</v>
      </c>
      <c r="D1585">
        <v>50</v>
      </c>
      <c r="E1585">
        <f>WEEKNUM(Append321[[#This Row],[Date]])</f>
        <v>30</v>
      </c>
    </row>
    <row r="1586" spans="1:5">
      <c r="A1586" t="s">
        <v>110</v>
      </c>
      <c r="B1586" t="s">
        <v>103</v>
      </c>
      <c r="C1586" s="5">
        <v>45497</v>
      </c>
      <c r="D1586">
        <v>41</v>
      </c>
      <c r="E1586">
        <f>WEEKNUM(Append321[[#This Row],[Date]])</f>
        <v>30</v>
      </c>
    </row>
    <row r="1587" spans="1:5">
      <c r="A1587" t="s">
        <v>110</v>
      </c>
      <c r="B1587" t="s">
        <v>103</v>
      </c>
      <c r="C1587" s="5">
        <v>45498</v>
      </c>
      <c r="D1587">
        <v>44</v>
      </c>
      <c r="E1587">
        <f>WEEKNUM(Append321[[#This Row],[Date]])</f>
        <v>30</v>
      </c>
    </row>
    <row r="1588" spans="1:5">
      <c r="A1588" t="s">
        <v>110</v>
      </c>
      <c r="B1588" t="s">
        <v>103</v>
      </c>
      <c r="C1588" s="5">
        <v>45499</v>
      </c>
      <c r="D1588">
        <v>60</v>
      </c>
      <c r="E1588">
        <f>WEEKNUM(Append321[[#This Row],[Date]])</f>
        <v>30</v>
      </c>
    </row>
    <row r="1589" spans="1:5">
      <c r="A1589" t="s">
        <v>110</v>
      </c>
      <c r="B1589" t="s">
        <v>103</v>
      </c>
      <c r="C1589" s="5">
        <v>45500</v>
      </c>
      <c r="D1589">
        <v>55</v>
      </c>
      <c r="E1589">
        <f>WEEKNUM(Append321[[#This Row],[Date]])</f>
        <v>30</v>
      </c>
    </row>
    <row r="1590" spans="1:5">
      <c r="A1590" t="s">
        <v>110</v>
      </c>
      <c r="B1590" t="s">
        <v>103</v>
      </c>
      <c r="C1590" s="5">
        <v>45501</v>
      </c>
      <c r="D1590">
        <v>52</v>
      </c>
      <c r="E1590">
        <f>WEEKNUM(Append321[[#This Row],[Date]])</f>
        <v>31</v>
      </c>
    </row>
    <row r="1591" spans="1:5">
      <c r="A1591" t="s">
        <v>110</v>
      </c>
      <c r="B1591" t="s">
        <v>103</v>
      </c>
      <c r="C1591" s="5">
        <v>45502</v>
      </c>
      <c r="D1591">
        <v>39</v>
      </c>
      <c r="E1591">
        <f>WEEKNUM(Append321[[#This Row],[Date]])</f>
        <v>31</v>
      </c>
    </row>
    <row r="1592" spans="1:5">
      <c r="A1592" t="s">
        <v>110</v>
      </c>
      <c r="B1592" t="s">
        <v>103</v>
      </c>
      <c r="C1592" s="5">
        <v>45503</v>
      </c>
      <c r="D1592">
        <v>49</v>
      </c>
      <c r="E1592">
        <f>WEEKNUM(Append321[[#This Row],[Date]])</f>
        <v>31</v>
      </c>
    </row>
    <row r="1593" spans="1:5">
      <c r="A1593" t="s">
        <v>110</v>
      </c>
      <c r="B1593" t="s">
        <v>103</v>
      </c>
      <c r="C1593" s="5">
        <v>45504</v>
      </c>
      <c r="D1593">
        <v>48</v>
      </c>
      <c r="E1593">
        <f>WEEKNUM(Append321[[#This Row],[Date]])</f>
        <v>31</v>
      </c>
    </row>
    <row r="1594" spans="1:5">
      <c r="A1594" t="s">
        <v>110</v>
      </c>
      <c r="B1594" t="s">
        <v>103</v>
      </c>
      <c r="C1594" s="5">
        <v>45505</v>
      </c>
      <c r="D1594">
        <v>67</v>
      </c>
      <c r="E1594">
        <f>WEEKNUM(Append321[[#This Row],[Date]])</f>
        <v>31</v>
      </c>
    </row>
    <row r="1595" spans="1:5">
      <c r="A1595" t="s">
        <v>110</v>
      </c>
      <c r="B1595" t="s">
        <v>103</v>
      </c>
      <c r="C1595" s="5">
        <v>45506</v>
      </c>
      <c r="D1595">
        <v>54</v>
      </c>
      <c r="E1595">
        <f>WEEKNUM(Append321[[#This Row],[Date]])</f>
        <v>31</v>
      </c>
    </row>
    <row r="1596" spans="1:5">
      <c r="A1596" t="s">
        <v>110</v>
      </c>
      <c r="B1596" t="s">
        <v>103</v>
      </c>
      <c r="C1596" s="5">
        <v>45507</v>
      </c>
      <c r="D1596">
        <v>73</v>
      </c>
      <c r="E1596">
        <f>WEEKNUM(Append321[[#This Row],[Date]])</f>
        <v>31</v>
      </c>
    </row>
    <row r="1597" spans="1:5">
      <c r="A1597" t="s">
        <v>110</v>
      </c>
      <c r="B1597" t="s">
        <v>103</v>
      </c>
      <c r="C1597" s="5">
        <v>45508</v>
      </c>
      <c r="D1597">
        <v>55</v>
      </c>
      <c r="E1597">
        <f>WEEKNUM(Append321[[#This Row],[Date]])</f>
        <v>32</v>
      </c>
    </row>
    <row r="1598" spans="1:5">
      <c r="A1598" t="s">
        <v>110</v>
      </c>
      <c r="B1598" t="s">
        <v>103</v>
      </c>
      <c r="C1598" s="5">
        <v>45509</v>
      </c>
      <c r="D1598">
        <v>44</v>
      </c>
      <c r="E1598">
        <f>WEEKNUM(Append321[[#This Row],[Date]])</f>
        <v>32</v>
      </c>
    </row>
    <row r="1599" spans="1:5">
      <c r="A1599" t="s">
        <v>110</v>
      </c>
      <c r="B1599" t="s">
        <v>103</v>
      </c>
      <c r="C1599" s="5">
        <v>45510</v>
      </c>
      <c r="D1599">
        <v>43</v>
      </c>
      <c r="E1599">
        <f>WEEKNUM(Append321[[#This Row],[Date]])</f>
        <v>32</v>
      </c>
    </row>
    <row r="1600" spans="1:5">
      <c r="A1600" t="s">
        <v>110</v>
      </c>
      <c r="B1600" t="s">
        <v>103</v>
      </c>
      <c r="C1600" s="5">
        <v>45511</v>
      </c>
      <c r="D1600">
        <v>43</v>
      </c>
      <c r="E1600">
        <f>WEEKNUM(Append321[[#This Row],[Date]])</f>
        <v>32</v>
      </c>
    </row>
    <row r="1601" spans="1:5">
      <c r="A1601" t="s">
        <v>110</v>
      </c>
      <c r="B1601" t="s">
        <v>103</v>
      </c>
      <c r="C1601" s="5">
        <v>45512</v>
      </c>
      <c r="D1601">
        <v>54</v>
      </c>
      <c r="E1601">
        <f>WEEKNUM(Append321[[#This Row],[Date]])</f>
        <v>32</v>
      </c>
    </row>
    <row r="1602" spans="1:5">
      <c r="A1602" t="s">
        <v>110</v>
      </c>
      <c r="B1602" t="s">
        <v>103</v>
      </c>
      <c r="C1602" s="5">
        <v>45513</v>
      </c>
      <c r="D1602">
        <v>36</v>
      </c>
      <c r="E1602">
        <f>WEEKNUM(Append321[[#This Row],[Date]])</f>
        <v>32</v>
      </c>
    </row>
    <row r="1603" spans="1:5">
      <c r="A1603" t="s">
        <v>110</v>
      </c>
      <c r="B1603" t="s">
        <v>103</v>
      </c>
      <c r="C1603" s="5">
        <v>45514</v>
      </c>
      <c r="D1603">
        <v>64</v>
      </c>
      <c r="E1603">
        <f>WEEKNUM(Append321[[#This Row],[Date]])</f>
        <v>32</v>
      </c>
    </row>
    <row r="1604" spans="1:5">
      <c r="A1604" t="s">
        <v>110</v>
      </c>
      <c r="B1604" t="s">
        <v>103</v>
      </c>
      <c r="C1604" s="5">
        <v>45515</v>
      </c>
      <c r="D1604">
        <v>40</v>
      </c>
      <c r="E1604">
        <f>WEEKNUM(Append321[[#This Row],[Date]])</f>
        <v>33</v>
      </c>
    </row>
    <row r="1605" spans="1:5">
      <c r="A1605" t="s">
        <v>110</v>
      </c>
      <c r="B1605" t="s">
        <v>103</v>
      </c>
      <c r="C1605" s="5">
        <v>45516</v>
      </c>
      <c r="D1605">
        <v>38</v>
      </c>
      <c r="E1605">
        <f>WEEKNUM(Append321[[#This Row],[Date]])</f>
        <v>33</v>
      </c>
    </row>
    <row r="1606" spans="1:5">
      <c r="A1606" t="s">
        <v>110</v>
      </c>
      <c r="B1606" t="s">
        <v>103</v>
      </c>
      <c r="C1606" s="5">
        <v>45517</v>
      </c>
      <c r="D1606">
        <v>56</v>
      </c>
      <c r="E1606">
        <f>WEEKNUM(Append321[[#This Row],[Date]])</f>
        <v>33</v>
      </c>
    </row>
    <row r="1607" spans="1:5">
      <c r="A1607" t="s">
        <v>110</v>
      </c>
      <c r="B1607" t="s">
        <v>103</v>
      </c>
      <c r="C1607" s="5">
        <v>45518</v>
      </c>
      <c r="D1607">
        <v>47</v>
      </c>
      <c r="E1607">
        <f>WEEKNUM(Append321[[#This Row],[Date]])</f>
        <v>33</v>
      </c>
    </row>
    <row r="1608" spans="1:5">
      <c r="A1608" t="s">
        <v>110</v>
      </c>
      <c r="B1608" t="s">
        <v>103</v>
      </c>
      <c r="C1608" s="5">
        <v>45519</v>
      </c>
      <c r="D1608">
        <v>61</v>
      </c>
      <c r="E1608">
        <f>WEEKNUM(Append321[[#This Row],[Date]])</f>
        <v>33</v>
      </c>
    </row>
    <row r="1609" spans="1:5">
      <c r="A1609" t="s">
        <v>110</v>
      </c>
      <c r="B1609" t="s">
        <v>103</v>
      </c>
      <c r="C1609" s="5">
        <v>45520</v>
      </c>
      <c r="D1609">
        <v>68</v>
      </c>
      <c r="E1609">
        <f>WEEKNUM(Append321[[#This Row],[Date]])</f>
        <v>33</v>
      </c>
    </row>
    <row r="1610" spans="1:5">
      <c r="A1610" t="s">
        <v>110</v>
      </c>
      <c r="B1610" t="s">
        <v>103</v>
      </c>
      <c r="C1610" s="5">
        <v>45521</v>
      </c>
      <c r="D1610">
        <v>46</v>
      </c>
      <c r="E1610">
        <f>WEEKNUM(Append321[[#This Row],[Date]])</f>
        <v>33</v>
      </c>
    </row>
    <row r="1611" spans="1:5">
      <c r="A1611" t="s">
        <v>110</v>
      </c>
      <c r="B1611" t="s">
        <v>103</v>
      </c>
      <c r="C1611" s="5">
        <v>45522</v>
      </c>
      <c r="D1611">
        <v>44</v>
      </c>
      <c r="E1611">
        <f>WEEKNUM(Append321[[#This Row],[Date]])</f>
        <v>34</v>
      </c>
    </row>
    <row r="1612" spans="1:5">
      <c r="A1612" t="s">
        <v>110</v>
      </c>
      <c r="B1612" t="s">
        <v>103</v>
      </c>
      <c r="C1612" s="5">
        <v>45523</v>
      </c>
      <c r="D1612">
        <v>37</v>
      </c>
      <c r="E1612">
        <f>WEEKNUM(Append321[[#This Row],[Date]])</f>
        <v>34</v>
      </c>
    </row>
    <row r="1613" spans="1:5">
      <c r="A1613" t="s">
        <v>110</v>
      </c>
      <c r="B1613" t="s">
        <v>103</v>
      </c>
      <c r="C1613" s="5">
        <v>45524</v>
      </c>
      <c r="D1613">
        <v>52</v>
      </c>
      <c r="E1613">
        <f>WEEKNUM(Append321[[#This Row],[Date]])</f>
        <v>34</v>
      </c>
    </row>
    <row r="1614" spans="1:5">
      <c r="A1614" t="s">
        <v>110</v>
      </c>
      <c r="B1614" t="s">
        <v>103</v>
      </c>
      <c r="C1614" s="5">
        <v>45525</v>
      </c>
      <c r="D1614">
        <v>39</v>
      </c>
      <c r="E1614">
        <f>WEEKNUM(Append321[[#This Row],[Date]])</f>
        <v>34</v>
      </c>
    </row>
    <row r="1615" spans="1:5">
      <c r="A1615" t="s">
        <v>110</v>
      </c>
      <c r="B1615" t="s">
        <v>103</v>
      </c>
      <c r="C1615" s="5">
        <v>45526</v>
      </c>
      <c r="D1615">
        <v>39</v>
      </c>
      <c r="E1615">
        <f>WEEKNUM(Append321[[#This Row],[Date]])</f>
        <v>34</v>
      </c>
    </row>
    <row r="1616" spans="1:5">
      <c r="A1616" t="s">
        <v>110</v>
      </c>
      <c r="B1616" t="s">
        <v>103</v>
      </c>
      <c r="C1616" s="5">
        <v>45527</v>
      </c>
      <c r="D1616">
        <v>45</v>
      </c>
      <c r="E1616">
        <f>WEEKNUM(Append321[[#This Row],[Date]])</f>
        <v>34</v>
      </c>
    </row>
    <row r="1617" spans="1:5">
      <c r="A1617" t="s">
        <v>110</v>
      </c>
      <c r="B1617" t="s">
        <v>103</v>
      </c>
      <c r="C1617" s="5">
        <v>45528</v>
      </c>
      <c r="D1617">
        <v>53</v>
      </c>
      <c r="E1617">
        <f>WEEKNUM(Append321[[#This Row],[Date]])</f>
        <v>34</v>
      </c>
    </row>
    <row r="1618" spans="1:5">
      <c r="A1618" t="s">
        <v>110</v>
      </c>
      <c r="B1618" t="s">
        <v>103</v>
      </c>
      <c r="C1618" s="5">
        <v>45529</v>
      </c>
      <c r="D1618">
        <v>30</v>
      </c>
      <c r="E1618">
        <f>WEEKNUM(Append321[[#This Row],[Date]])</f>
        <v>35</v>
      </c>
    </row>
    <row r="1619" spans="1:5">
      <c r="A1619" t="s">
        <v>110</v>
      </c>
      <c r="B1619" t="s">
        <v>103</v>
      </c>
      <c r="C1619" s="5">
        <v>45530</v>
      </c>
      <c r="D1619">
        <v>45</v>
      </c>
      <c r="E1619">
        <f>WEEKNUM(Append321[[#This Row],[Date]])</f>
        <v>35</v>
      </c>
    </row>
    <row r="1620" spans="1:5">
      <c r="A1620" t="s">
        <v>110</v>
      </c>
      <c r="B1620" t="s">
        <v>103</v>
      </c>
      <c r="C1620" s="5">
        <v>45531</v>
      </c>
      <c r="D1620">
        <v>27</v>
      </c>
      <c r="E1620">
        <f>WEEKNUM(Append321[[#This Row],[Date]])</f>
        <v>35</v>
      </c>
    </row>
    <row r="1621" spans="1:5">
      <c r="A1621" t="s">
        <v>110</v>
      </c>
      <c r="B1621" t="s">
        <v>103</v>
      </c>
      <c r="C1621" s="5">
        <v>45532</v>
      </c>
      <c r="D1621">
        <v>31</v>
      </c>
      <c r="E1621">
        <f>WEEKNUM(Append321[[#This Row],[Date]])</f>
        <v>35</v>
      </c>
    </row>
    <row r="1622" spans="1:5">
      <c r="A1622" t="s">
        <v>110</v>
      </c>
      <c r="B1622" t="s">
        <v>103</v>
      </c>
      <c r="C1622" s="5">
        <v>45533</v>
      </c>
      <c r="D1622">
        <v>53</v>
      </c>
      <c r="E1622">
        <f>WEEKNUM(Append321[[#This Row],[Date]])</f>
        <v>35</v>
      </c>
    </row>
    <row r="1623" spans="1:5">
      <c r="A1623" t="s">
        <v>110</v>
      </c>
      <c r="B1623" t="s">
        <v>103</v>
      </c>
      <c r="C1623" s="5">
        <v>45534</v>
      </c>
      <c r="D1623">
        <v>68</v>
      </c>
      <c r="E1623">
        <f>WEEKNUM(Append321[[#This Row],[Date]])</f>
        <v>35</v>
      </c>
    </row>
    <row r="1624" spans="1:5">
      <c r="A1624" t="s">
        <v>110</v>
      </c>
      <c r="B1624" t="s">
        <v>103</v>
      </c>
      <c r="C1624" s="5">
        <v>45535</v>
      </c>
      <c r="D1624">
        <v>58</v>
      </c>
      <c r="E1624">
        <f>WEEKNUM(Append321[[#This Row],[Date]])</f>
        <v>35</v>
      </c>
    </row>
    <row r="1625" spans="1:5">
      <c r="A1625" t="s">
        <v>110</v>
      </c>
      <c r="B1625" t="s">
        <v>105</v>
      </c>
      <c r="C1625" s="5">
        <v>45444</v>
      </c>
      <c r="D1625">
        <v>1</v>
      </c>
      <c r="E1625">
        <f>WEEKNUM(Append321[[#This Row],[Date]])</f>
        <v>22</v>
      </c>
    </row>
    <row r="1626" spans="1:5">
      <c r="A1626" t="s">
        <v>110</v>
      </c>
      <c r="B1626" t="s">
        <v>105</v>
      </c>
      <c r="C1626" s="5">
        <v>45451</v>
      </c>
      <c r="D1626">
        <v>1</v>
      </c>
      <c r="E1626">
        <f>WEEKNUM(Append321[[#This Row],[Date]])</f>
        <v>23</v>
      </c>
    </row>
    <row r="1627" spans="1:5">
      <c r="A1627" t="s">
        <v>110</v>
      </c>
      <c r="B1627" t="s">
        <v>105</v>
      </c>
      <c r="C1627" s="5">
        <v>45459</v>
      </c>
      <c r="D1627">
        <v>1</v>
      </c>
      <c r="E1627">
        <f>WEEKNUM(Append321[[#This Row],[Date]])</f>
        <v>25</v>
      </c>
    </row>
    <row r="1628" spans="1:5">
      <c r="A1628" t="s">
        <v>110</v>
      </c>
      <c r="B1628" t="s">
        <v>105</v>
      </c>
      <c r="C1628" s="5">
        <v>45464</v>
      </c>
      <c r="D1628">
        <v>1</v>
      </c>
      <c r="E1628">
        <f>WEEKNUM(Append321[[#This Row],[Date]])</f>
        <v>25</v>
      </c>
    </row>
    <row r="1629" spans="1:5">
      <c r="A1629" t="s">
        <v>110</v>
      </c>
      <c r="B1629" t="s">
        <v>105</v>
      </c>
      <c r="C1629" s="5">
        <v>45471</v>
      </c>
      <c r="D1629">
        <v>2</v>
      </c>
      <c r="E1629">
        <f>WEEKNUM(Append321[[#This Row],[Date]])</f>
        <v>26</v>
      </c>
    </row>
    <row r="1630" spans="1:5">
      <c r="A1630" t="s">
        <v>110</v>
      </c>
      <c r="B1630" t="s">
        <v>105</v>
      </c>
      <c r="C1630" s="5">
        <v>45472</v>
      </c>
      <c r="D1630">
        <v>1</v>
      </c>
      <c r="E1630">
        <f>WEEKNUM(Append321[[#This Row],[Date]])</f>
        <v>26</v>
      </c>
    </row>
    <row r="1631" spans="1:5">
      <c r="A1631" t="s">
        <v>110</v>
      </c>
      <c r="B1631" t="s">
        <v>105</v>
      </c>
      <c r="C1631" s="5">
        <v>45473</v>
      </c>
      <c r="D1631">
        <v>1</v>
      </c>
      <c r="E1631">
        <f>WEEKNUM(Append321[[#This Row],[Date]])</f>
        <v>27</v>
      </c>
    </row>
    <row r="1632" spans="1:5">
      <c r="A1632" t="s">
        <v>110</v>
      </c>
      <c r="B1632" t="s">
        <v>105</v>
      </c>
      <c r="C1632" s="5">
        <v>45475</v>
      </c>
      <c r="D1632">
        <v>5</v>
      </c>
      <c r="E1632">
        <f>WEEKNUM(Append321[[#This Row],[Date]])</f>
        <v>27</v>
      </c>
    </row>
    <row r="1633" spans="1:5">
      <c r="A1633" t="s">
        <v>110</v>
      </c>
      <c r="B1633" t="s">
        <v>105</v>
      </c>
      <c r="C1633" s="5">
        <v>45476</v>
      </c>
      <c r="D1633">
        <v>5</v>
      </c>
      <c r="E1633">
        <f>WEEKNUM(Append321[[#This Row],[Date]])</f>
        <v>27</v>
      </c>
    </row>
    <row r="1634" spans="1:5">
      <c r="A1634" t="s">
        <v>110</v>
      </c>
      <c r="B1634" t="s">
        <v>105</v>
      </c>
      <c r="C1634" s="5">
        <v>45477</v>
      </c>
      <c r="D1634">
        <v>8</v>
      </c>
      <c r="E1634">
        <f>WEEKNUM(Append321[[#This Row],[Date]])</f>
        <v>27</v>
      </c>
    </row>
    <row r="1635" spans="1:5">
      <c r="A1635" t="s">
        <v>110</v>
      </c>
      <c r="B1635" t="s">
        <v>105</v>
      </c>
      <c r="C1635" s="5">
        <v>45478</v>
      </c>
      <c r="D1635">
        <v>7</v>
      </c>
      <c r="E1635">
        <f>WEEKNUM(Append321[[#This Row],[Date]])</f>
        <v>27</v>
      </c>
    </row>
    <row r="1636" spans="1:5">
      <c r="A1636" t="s">
        <v>110</v>
      </c>
      <c r="B1636" t="s">
        <v>105</v>
      </c>
      <c r="C1636" s="5">
        <v>45479</v>
      </c>
      <c r="D1636">
        <v>11</v>
      </c>
      <c r="E1636">
        <f>WEEKNUM(Append321[[#This Row],[Date]])</f>
        <v>27</v>
      </c>
    </row>
    <row r="1637" spans="1:5">
      <c r="A1637" t="s">
        <v>110</v>
      </c>
      <c r="B1637" t="s">
        <v>105</v>
      </c>
      <c r="C1637" s="5">
        <v>45480</v>
      </c>
      <c r="D1637">
        <v>5</v>
      </c>
      <c r="E1637">
        <f>WEEKNUM(Append321[[#This Row],[Date]])</f>
        <v>28</v>
      </c>
    </row>
    <row r="1638" spans="1:5">
      <c r="A1638" t="s">
        <v>110</v>
      </c>
      <c r="B1638" t="s">
        <v>105</v>
      </c>
      <c r="C1638" s="5">
        <v>45481</v>
      </c>
      <c r="D1638">
        <v>6</v>
      </c>
      <c r="E1638">
        <f>WEEKNUM(Append321[[#This Row],[Date]])</f>
        <v>28</v>
      </c>
    </row>
    <row r="1639" spans="1:5">
      <c r="A1639" t="s">
        <v>110</v>
      </c>
      <c r="B1639" t="s">
        <v>105</v>
      </c>
      <c r="C1639" s="5">
        <v>45482</v>
      </c>
      <c r="D1639">
        <v>6</v>
      </c>
      <c r="E1639">
        <f>WEEKNUM(Append321[[#This Row],[Date]])</f>
        <v>28</v>
      </c>
    </row>
    <row r="1640" spans="1:5">
      <c r="A1640" t="s">
        <v>110</v>
      </c>
      <c r="B1640" t="s">
        <v>105</v>
      </c>
      <c r="C1640" s="5">
        <v>45483</v>
      </c>
      <c r="D1640">
        <v>6</v>
      </c>
      <c r="E1640">
        <f>WEEKNUM(Append321[[#This Row],[Date]])</f>
        <v>28</v>
      </c>
    </row>
    <row r="1641" spans="1:5">
      <c r="A1641" t="s">
        <v>110</v>
      </c>
      <c r="B1641" t="s">
        <v>105</v>
      </c>
      <c r="C1641" s="5">
        <v>45484</v>
      </c>
      <c r="D1641">
        <v>7</v>
      </c>
      <c r="E1641">
        <f>WEEKNUM(Append321[[#This Row],[Date]])</f>
        <v>28</v>
      </c>
    </row>
    <row r="1642" spans="1:5">
      <c r="A1642" t="s">
        <v>110</v>
      </c>
      <c r="B1642" t="s">
        <v>105</v>
      </c>
      <c r="C1642" s="5">
        <v>45485</v>
      </c>
      <c r="D1642">
        <v>14</v>
      </c>
      <c r="E1642">
        <f>WEEKNUM(Append321[[#This Row],[Date]])</f>
        <v>28</v>
      </c>
    </row>
    <row r="1643" spans="1:5">
      <c r="A1643" t="s">
        <v>110</v>
      </c>
      <c r="B1643" t="s">
        <v>105</v>
      </c>
      <c r="C1643" s="5">
        <v>45486</v>
      </c>
      <c r="D1643">
        <v>11</v>
      </c>
      <c r="E1643">
        <f>WEEKNUM(Append321[[#This Row],[Date]])</f>
        <v>28</v>
      </c>
    </row>
    <row r="1644" spans="1:5">
      <c r="A1644" t="s">
        <v>110</v>
      </c>
      <c r="B1644" t="s">
        <v>105</v>
      </c>
      <c r="C1644" s="5">
        <v>45487</v>
      </c>
      <c r="D1644">
        <v>7</v>
      </c>
      <c r="E1644">
        <f>WEEKNUM(Append321[[#This Row],[Date]])</f>
        <v>29</v>
      </c>
    </row>
    <row r="1645" spans="1:5">
      <c r="A1645" t="s">
        <v>110</v>
      </c>
      <c r="B1645" t="s">
        <v>105</v>
      </c>
      <c r="C1645" s="5">
        <v>45488</v>
      </c>
      <c r="D1645">
        <v>20</v>
      </c>
      <c r="E1645">
        <f>WEEKNUM(Append321[[#This Row],[Date]])</f>
        <v>29</v>
      </c>
    </row>
    <row r="1646" spans="1:5">
      <c r="A1646" t="s">
        <v>110</v>
      </c>
      <c r="B1646" t="s">
        <v>105</v>
      </c>
      <c r="C1646" s="5">
        <v>45489</v>
      </c>
      <c r="D1646">
        <v>18</v>
      </c>
      <c r="E1646">
        <f>WEEKNUM(Append321[[#This Row],[Date]])</f>
        <v>29</v>
      </c>
    </row>
    <row r="1647" spans="1:5">
      <c r="A1647" t="s">
        <v>110</v>
      </c>
      <c r="B1647" t="s">
        <v>105</v>
      </c>
      <c r="C1647" s="5">
        <v>45490</v>
      </c>
      <c r="D1647">
        <v>9</v>
      </c>
      <c r="E1647">
        <f>WEEKNUM(Append321[[#This Row],[Date]])</f>
        <v>29</v>
      </c>
    </row>
    <row r="1648" spans="1:5">
      <c r="A1648" t="s">
        <v>110</v>
      </c>
      <c r="B1648" t="s">
        <v>105</v>
      </c>
      <c r="C1648" s="5">
        <v>45491</v>
      </c>
      <c r="D1648">
        <v>21</v>
      </c>
      <c r="E1648">
        <f>WEEKNUM(Append321[[#This Row],[Date]])</f>
        <v>29</v>
      </c>
    </row>
    <row r="1649" spans="1:5">
      <c r="A1649" t="s">
        <v>110</v>
      </c>
      <c r="B1649" t="s">
        <v>105</v>
      </c>
      <c r="C1649" s="5">
        <v>45492</v>
      </c>
      <c r="D1649">
        <v>18</v>
      </c>
      <c r="E1649">
        <f>WEEKNUM(Append321[[#This Row],[Date]])</f>
        <v>29</v>
      </c>
    </row>
    <row r="1650" spans="1:5">
      <c r="A1650" t="s">
        <v>110</v>
      </c>
      <c r="B1650" t="s">
        <v>105</v>
      </c>
      <c r="C1650" s="5">
        <v>45493</v>
      </c>
      <c r="D1650">
        <v>20</v>
      </c>
      <c r="E1650">
        <f>WEEKNUM(Append321[[#This Row],[Date]])</f>
        <v>29</v>
      </c>
    </row>
    <row r="1651" spans="1:5">
      <c r="A1651" t="s">
        <v>110</v>
      </c>
      <c r="B1651" t="s">
        <v>105</v>
      </c>
      <c r="C1651" s="5">
        <v>45494</v>
      </c>
      <c r="D1651">
        <v>22</v>
      </c>
      <c r="E1651">
        <f>WEEKNUM(Append321[[#This Row],[Date]])</f>
        <v>30</v>
      </c>
    </row>
    <row r="1652" spans="1:5">
      <c r="A1652" t="s">
        <v>110</v>
      </c>
      <c r="B1652" t="s">
        <v>105</v>
      </c>
      <c r="C1652" s="5">
        <v>45495</v>
      </c>
      <c r="D1652">
        <v>25</v>
      </c>
      <c r="E1652">
        <f>WEEKNUM(Append321[[#This Row],[Date]])</f>
        <v>30</v>
      </c>
    </row>
    <row r="1653" spans="1:5">
      <c r="A1653" t="s">
        <v>110</v>
      </c>
      <c r="B1653" t="s">
        <v>105</v>
      </c>
      <c r="C1653" s="5">
        <v>45496</v>
      </c>
      <c r="D1653">
        <v>24</v>
      </c>
      <c r="E1653">
        <f>WEEKNUM(Append321[[#This Row],[Date]])</f>
        <v>30</v>
      </c>
    </row>
    <row r="1654" spans="1:5">
      <c r="A1654" t="s">
        <v>110</v>
      </c>
      <c r="B1654" t="s">
        <v>105</v>
      </c>
      <c r="C1654" s="5">
        <v>45497</v>
      </c>
      <c r="D1654">
        <v>32</v>
      </c>
      <c r="E1654">
        <f>WEEKNUM(Append321[[#This Row],[Date]])</f>
        <v>30</v>
      </c>
    </row>
    <row r="1655" spans="1:5">
      <c r="A1655" t="s">
        <v>110</v>
      </c>
      <c r="B1655" t="s">
        <v>105</v>
      </c>
      <c r="C1655" s="5">
        <v>45498</v>
      </c>
      <c r="D1655">
        <v>19</v>
      </c>
      <c r="E1655">
        <f>WEEKNUM(Append321[[#This Row],[Date]])</f>
        <v>30</v>
      </c>
    </row>
    <row r="1656" spans="1:5">
      <c r="A1656" t="s">
        <v>110</v>
      </c>
      <c r="B1656" t="s">
        <v>105</v>
      </c>
      <c r="C1656" s="5">
        <v>45499</v>
      </c>
      <c r="D1656">
        <v>30</v>
      </c>
      <c r="E1656">
        <f>WEEKNUM(Append321[[#This Row],[Date]])</f>
        <v>30</v>
      </c>
    </row>
    <row r="1657" spans="1:5">
      <c r="A1657" t="s">
        <v>110</v>
      </c>
      <c r="B1657" t="s">
        <v>105</v>
      </c>
      <c r="C1657" s="5">
        <v>45500</v>
      </c>
      <c r="D1657">
        <v>24</v>
      </c>
      <c r="E1657">
        <f>WEEKNUM(Append321[[#This Row],[Date]])</f>
        <v>30</v>
      </c>
    </row>
    <row r="1658" spans="1:5">
      <c r="A1658" t="s">
        <v>110</v>
      </c>
      <c r="B1658" t="s">
        <v>105</v>
      </c>
      <c r="C1658" s="5">
        <v>45501</v>
      </c>
      <c r="D1658">
        <v>23</v>
      </c>
      <c r="E1658">
        <f>WEEKNUM(Append321[[#This Row],[Date]])</f>
        <v>31</v>
      </c>
    </row>
    <row r="1659" spans="1:5">
      <c r="A1659" t="s">
        <v>110</v>
      </c>
      <c r="B1659" t="s">
        <v>105</v>
      </c>
      <c r="C1659" s="5">
        <v>45502</v>
      </c>
      <c r="D1659">
        <v>25</v>
      </c>
      <c r="E1659">
        <f>WEEKNUM(Append321[[#This Row],[Date]])</f>
        <v>31</v>
      </c>
    </row>
    <row r="1660" spans="1:5">
      <c r="A1660" t="s">
        <v>110</v>
      </c>
      <c r="B1660" t="s">
        <v>105</v>
      </c>
      <c r="C1660" s="5">
        <v>45503</v>
      </c>
      <c r="D1660">
        <v>28</v>
      </c>
      <c r="E1660">
        <f>WEEKNUM(Append321[[#This Row],[Date]])</f>
        <v>31</v>
      </c>
    </row>
    <row r="1661" spans="1:5">
      <c r="A1661" t="s">
        <v>110</v>
      </c>
      <c r="B1661" t="s">
        <v>105</v>
      </c>
      <c r="C1661" s="5">
        <v>45504</v>
      </c>
      <c r="D1661">
        <v>33</v>
      </c>
      <c r="E1661">
        <f>WEEKNUM(Append321[[#This Row],[Date]])</f>
        <v>31</v>
      </c>
    </row>
    <row r="1662" spans="1:5">
      <c r="A1662" t="s">
        <v>110</v>
      </c>
      <c r="B1662" t="s">
        <v>105</v>
      </c>
      <c r="C1662" s="5">
        <v>45505</v>
      </c>
      <c r="D1662">
        <v>48</v>
      </c>
      <c r="E1662">
        <f>WEEKNUM(Append321[[#This Row],[Date]])</f>
        <v>31</v>
      </c>
    </row>
    <row r="1663" spans="1:5">
      <c r="A1663" t="s">
        <v>110</v>
      </c>
      <c r="B1663" t="s">
        <v>105</v>
      </c>
      <c r="C1663" s="5">
        <v>45506</v>
      </c>
      <c r="D1663">
        <v>44</v>
      </c>
      <c r="E1663">
        <f>WEEKNUM(Append321[[#This Row],[Date]])</f>
        <v>31</v>
      </c>
    </row>
    <row r="1664" spans="1:5">
      <c r="A1664" t="s">
        <v>110</v>
      </c>
      <c r="B1664" t="s">
        <v>105</v>
      </c>
      <c r="C1664" s="5">
        <v>45507</v>
      </c>
      <c r="D1664">
        <v>41</v>
      </c>
      <c r="E1664">
        <f>WEEKNUM(Append321[[#This Row],[Date]])</f>
        <v>31</v>
      </c>
    </row>
    <row r="1665" spans="1:5">
      <c r="A1665" t="s">
        <v>110</v>
      </c>
      <c r="B1665" t="s">
        <v>105</v>
      </c>
      <c r="C1665" s="5">
        <v>45508</v>
      </c>
      <c r="D1665">
        <v>36</v>
      </c>
      <c r="E1665">
        <f>WEEKNUM(Append321[[#This Row],[Date]])</f>
        <v>32</v>
      </c>
    </row>
    <row r="1666" spans="1:5">
      <c r="A1666" t="s">
        <v>110</v>
      </c>
      <c r="B1666" t="s">
        <v>105</v>
      </c>
      <c r="C1666" s="5">
        <v>45509</v>
      </c>
      <c r="D1666">
        <v>41</v>
      </c>
      <c r="E1666">
        <f>WEEKNUM(Append321[[#This Row],[Date]])</f>
        <v>32</v>
      </c>
    </row>
    <row r="1667" spans="1:5">
      <c r="A1667" t="s">
        <v>110</v>
      </c>
      <c r="B1667" t="s">
        <v>105</v>
      </c>
      <c r="C1667" s="5">
        <v>45510</v>
      </c>
      <c r="D1667">
        <v>29</v>
      </c>
      <c r="E1667">
        <f>WEEKNUM(Append321[[#This Row],[Date]])</f>
        <v>32</v>
      </c>
    </row>
    <row r="1668" spans="1:5">
      <c r="A1668" t="s">
        <v>110</v>
      </c>
      <c r="B1668" t="s">
        <v>105</v>
      </c>
      <c r="C1668" s="5">
        <v>45511</v>
      </c>
      <c r="D1668">
        <v>38</v>
      </c>
      <c r="E1668">
        <f>WEEKNUM(Append321[[#This Row],[Date]])</f>
        <v>32</v>
      </c>
    </row>
    <row r="1669" spans="1:5">
      <c r="A1669" t="s">
        <v>110</v>
      </c>
      <c r="B1669" t="s">
        <v>105</v>
      </c>
      <c r="C1669" s="5">
        <v>45512</v>
      </c>
      <c r="D1669">
        <v>28</v>
      </c>
      <c r="E1669">
        <f>WEEKNUM(Append321[[#This Row],[Date]])</f>
        <v>32</v>
      </c>
    </row>
    <row r="1670" spans="1:5">
      <c r="A1670" t="s">
        <v>110</v>
      </c>
      <c r="B1670" t="s">
        <v>105</v>
      </c>
      <c r="C1670" s="5">
        <v>45513</v>
      </c>
      <c r="D1670">
        <v>24</v>
      </c>
      <c r="E1670">
        <f>WEEKNUM(Append321[[#This Row],[Date]])</f>
        <v>32</v>
      </c>
    </row>
    <row r="1671" spans="1:5">
      <c r="A1671" t="s">
        <v>110</v>
      </c>
      <c r="B1671" t="s">
        <v>105</v>
      </c>
      <c r="C1671" s="5">
        <v>45514</v>
      </c>
      <c r="D1671">
        <v>29</v>
      </c>
      <c r="E1671">
        <f>WEEKNUM(Append321[[#This Row],[Date]])</f>
        <v>32</v>
      </c>
    </row>
    <row r="1672" spans="1:5">
      <c r="A1672" t="s">
        <v>110</v>
      </c>
      <c r="B1672" t="s">
        <v>105</v>
      </c>
      <c r="C1672" s="5">
        <v>45515</v>
      </c>
      <c r="D1672">
        <v>32</v>
      </c>
      <c r="E1672">
        <f>WEEKNUM(Append321[[#This Row],[Date]])</f>
        <v>33</v>
      </c>
    </row>
    <row r="1673" spans="1:5">
      <c r="A1673" t="s">
        <v>110</v>
      </c>
      <c r="B1673" t="s">
        <v>105</v>
      </c>
      <c r="C1673" s="5">
        <v>45516</v>
      </c>
      <c r="D1673">
        <v>40</v>
      </c>
      <c r="E1673">
        <f>WEEKNUM(Append321[[#This Row],[Date]])</f>
        <v>33</v>
      </c>
    </row>
    <row r="1674" spans="1:5">
      <c r="A1674" t="s">
        <v>110</v>
      </c>
      <c r="B1674" t="s">
        <v>105</v>
      </c>
      <c r="C1674" s="5">
        <v>45517</v>
      </c>
      <c r="D1674">
        <v>29</v>
      </c>
      <c r="E1674">
        <f>WEEKNUM(Append321[[#This Row],[Date]])</f>
        <v>33</v>
      </c>
    </row>
    <row r="1675" spans="1:5">
      <c r="A1675" t="s">
        <v>110</v>
      </c>
      <c r="B1675" t="s">
        <v>105</v>
      </c>
      <c r="C1675" s="5">
        <v>45518</v>
      </c>
      <c r="D1675">
        <v>36</v>
      </c>
      <c r="E1675">
        <f>WEEKNUM(Append321[[#This Row],[Date]])</f>
        <v>33</v>
      </c>
    </row>
    <row r="1676" spans="1:5">
      <c r="A1676" t="s">
        <v>110</v>
      </c>
      <c r="B1676" t="s">
        <v>105</v>
      </c>
      <c r="C1676" s="5">
        <v>45519</v>
      </c>
      <c r="D1676">
        <v>44</v>
      </c>
      <c r="E1676">
        <f>WEEKNUM(Append321[[#This Row],[Date]])</f>
        <v>33</v>
      </c>
    </row>
    <row r="1677" spans="1:5">
      <c r="A1677" t="s">
        <v>110</v>
      </c>
      <c r="B1677" t="s">
        <v>105</v>
      </c>
      <c r="C1677" s="5">
        <v>45520</v>
      </c>
      <c r="D1677">
        <v>35</v>
      </c>
      <c r="E1677">
        <f>WEEKNUM(Append321[[#This Row],[Date]])</f>
        <v>33</v>
      </c>
    </row>
    <row r="1678" spans="1:5">
      <c r="A1678" t="s">
        <v>110</v>
      </c>
      <c r="B1678" t="s">
        <v>105</v>
      </c>
      <c r="C1678" s="5">
        <v>45521</v>
      </c>
      <c r="D1678">
        <v>44</v>
      </c>
      <c r="E1678">
        <f>WEEKNUM(Append321[[#This Row],[Date]])</f>
        <v>33</v>
      </c>
    </row>
    <row r="1679" spans="1:5">
      <c r="A1679" t="s">
        <v>110</v>
      </c>
      <c r="B1679" t="s">
        <v>105</v>
      </c>
      <c r="C1679" s="5">
        <v>45522</v>
      </c>
      <c r="D1679">
        <v>39</v>
      </c>
      <c r="E1679">
        <f>WEEKNUM(Append321[[#This Row],[Date]])</f>
        <v>34</v>
      </c>
    </row>
    <row r="1680" spans="1:5">
      <c r="A1680" t="s">
        <v>110</v>
      </c>
      <c r="B1680" t="s">
        <v>105</v>
      </c>
      <c r="C1680" s="5">
        <v>45523</v>
      </c>
      <c r="D1680">
        <v>35</v>
      </c>
      <c r="E1680">
        <f>WEEKNUM(Append321[[#This Row],[Date]])</f>
        <v>34</v>
      </c>
    </row>
    <row r="1681" spans="1:5">
      <c r="A1681" t="s">
        <v>110</v>
      </c>
      <c r="B1681" t="s">
        <v>105</v>
      </c>
      <c r="C1681" s="5">
        <v>45524</v>
      </c>
      <c r="D1681">
        <v>43</v>
      </c>
      <c r="E1681">
        <f>WEEKNUM(Append321[[#This Row],[Date]])</f>
        <v>34</v>
      </c>
    </row>
    <row r="1682" spans="1:5">
      <c r="A1682" t="s">
        <v>110</v>
      </c>
      <c r="B1682" t="s">
        <v>105</v>
      </c>
      <c r="C1682" s="5">
        <v>45525</v>
      </c>
      <c r="D1682">
        <v>49</v>
      </c>
      <c r="E1682">
        <f>WEEKNUM(Append321[[#This Row],[Date]])</f>
        <v>34</v>
      </c>
    </row>
    <row r="1683" spans="1:5">
      <c r="A1683" t="s">
        <v>110</v>
      </c>
      <c r="B1683" t="s">
        <v>105</v>
      </c>
      <c r="C1683" s="5">
        <v>45526</v>
      </c>
      <c r="D1683">
        <v>45</v>
      </c>
      <c r="E1683">
        <f>WEEKNUM(Append321[[#This Row],[Date]])</f>
        <v>34</v>
      </c>
    </row>
    <row r="1684" spans="1:5">
      <c r="A1684" t="s">
        <v>110</v>
      </c>
      <c r="B1684" t="s">
        <v>105</v>
      </c>
      <c r="C1684" s="5">
        <v>45527</v>
      </c>
      <c r="D1684">
        <v>33</v>
      </c>
      <c r="E1684">
        <f>WEEKNUM(Append321[[#This Row],[Date]])</f>
        <v>34</v>
      </c>
    </row>
    <row r="1685" spans="1:5">
      <c r="A1685" t="s">
        <v>110</v>
      </c>
      <c r="B1685" t="s">
        <v>105</v>
      </c>
      <c r="C1685" s="5">
        <v>45528</v>
      </c>
      <c r="D1685">
        <v>51</v>
      </c>
      <c r="E1685">
        <f>WEEKNUM(Append321[[#This Row],[Date]])</f>
        <v>34</v>
      </c>
    </row>
    <row r="1686" spans="1:5">
      <c r="A1686" t="s">
        <v>110</v>
      </c>
      <c r="B1686" t="s">
        <v>105</v>
      </c>
      <c r="C1686" s="5">
        <v>45529</v>
      </c>
      <c r="D1686">
        <v>31</v>
      </c>
      <c r="E1686">
        <f>WEEKNUM(Append321[[#This Row],[Date]])</f>
        <v>35</v>
      </c>
    </row>
    <row r="1687" spans="1:5">
      <c r="A1687" t="s">
        <v>110</v>
      </c>
      <c r="B1687" t="s">
        <v>105</v>
      </c>
      <c r="C1687" s="5">
        <v>45530</v>
      </c>
      <c r="D1687">
        <v>36</v>
      </c>
      <c r="E1687">
        <f>WEEKNUM(Append321[[#This Row],[Date]])</f>
        <v>35</v>
      </c>
    </row>
    <row r="1688" spans="1:5">
      <c r="A1688" t="s">
        <v>110</v>
      </c>
      <c r="B1688" t="s">
        <v>105</v>
      </c>
      <c r="C1688" s="5">
        <v>45531</v>
      </c>
      <c r="D1688">
        <v>31</v>
      </c>
      <c r="E1688">
        <f>WEEKNUM(Append321[[#This Row],[Date]])</f>
        <v>35</v>
      </c>
    </row>
    <row r="1689" spans="1:5">
      <c r="A1689" t="s">
        <v>110</v>
      </c>
      <c r="B1689" t="s">
        <v>105</v>
      </c>
      <c r="C1689" s="5">
        <v>45532</v>
      </c>
      <c r="D1689">
        <v>45</v>
      </c>
      <c r="E1689">
        <f>WEEKNUM(Append321[[#This Row],[Date]])</f>
        <v>35</v>
      </c>
    </row>
    <row r="1690" spans="1:5">
      <c r="A1690" t="s">
        <v>110</v>
      </c>
      <c r="B1690" t="s">
        <v>105</v>
      </c>
      <c r="C1690" s="5">
        <v>45533</v>
      </c>
      <c r="D1690">
        <v>41</v>
      </c>
      <c r="E1690">
        <f>WEEKNUM(Append321[[#This Row],[Date]])</f>
        <v>35</v>
      </c>
    </row>
    <row r="1691" spans="1:5">
      <c r="A1691" t="s">
        <v>110</v>
      </c>
      <c r="B1691" t="s">
        <v>105</v>
      </c>
      <c r="C1691" s="5">
        <v>45534</v>
      </c>
      <c r="D1691">
        <v>47</v>
      </c>
      <c r="E1691">
        <f>WEEKNUM(Append321[[#This Row],[Date]])</f>
        <v>35</v>
      </c>
    </row>
    <row r="1692" spans="1:5">
      <c r="A1692" t="s">
        <v>110</v>
      </c>
      <c r="B1692" t="s">
        <v>105</v>
      </c>
      <c r="C1692" s="5">
        <v>45535</v>
      </c>
      <c r="D1692">
        <v>45</v>
      </c>
      <c r="E1692">
        <f>WEEKNUM(Append321[[#This Row],[Date]])</f>
        <v>35</v>
      </c>
    </row>
    <row r="1693" spans="1:5">
      <c r="A1693" t="s">
        <v>110</v>
      </c>
      <c r="B1693" t="s">
        <v>107</v>
      </c>
      <c r="C1693" s="5">
        <v>45444</v>
      </c>
      <c r="D1693">
        <v>28</v>
      </c>
      <c r="E1693">
        <f>WEEKNUM(Append321[[#This Row],[Date]])</f>
        <v>22</v>
      </c>
    </row>
    <row r="1694" spans="1:5">
      <c r="A1694" t="s">
        <v>110</v>
      </c>
      <c r="B1694" t="s">
        <v>107</v>
      </c>
      <c r="C1694" s="5">
        <v>45445</v>
      </c>
      <c r="D1694">
        <v>35</v>
      </c>
      <c r="E1694">
        <f>WEEKNUM(Append321[[#This Row],[Date]])</f>
        <v>23</v>
      </c>
    </row>
    <row r="1695" spans="1:5">
      <c r="A1695" t="s">
        <v>110</v>
      </c>
      <c r="B1695" t="s">
        <v>107</v>
      </c>
      <c r="C1695" s="5">
        <v>45446</v>
      </c>
      <c r="D1695">
        <v>23</v>
      </c>
      <c r="E1695">
        <f>WEEKNUM(Append321[[#This Row],[Date]])</f>
        <v>23</v>
      </c>
    </row>
    <row r="1696" spans="1:5">
      <c r="A1696" t="s">
        <v>110</v>
      </c>
      <c r="B1696" t="s">
        <v>107</v>
      </c>
      <c r="C1696" s="5">
        <v>45447</v>
      </c>
      <c r="D1696">
        <v>37</v>
      </c>
      <c r="E1696">
        <f>WEEKNUM(Append321[[#This Row],[Date]])</f>
        <v>23</v>
      </c>
    </row>
    <row r="1697" spans="1:5">
      <c r="A1697" t="s">
        <v>110</v>
      </c>
      <c r="B1697" t="s">
        <v>107</v>
      </c>
      <c r="C1697" s="5">
        <v>45448</v>
      </c>
      <c r="D1697">
        <v>29</v>
      </c>
      <c r="E1697">
        <f>WEEKNUM(Append321[[#This Row],[Date]])</f>
        <v>23</v>
      </c>
    </row>
    <row r="1698" spans="1:5">
      <c r="A1698" t="s">
        <v>110</v>
      </c>
      <c r="B1698" t="s">
        <v>107</v>
      </c>
      <c r="C1698" s="5">
        <v>45449</v>
      </c>
      <c r="D1698">
        <v>32</v>
      </c>
      <c r="E1698">
        <f>WEEKNUM(Append321[[#This Row],[Date]])</f>
        <v>23</v>
      </c>
    </row>
    <row r="1699" spans="1:5">
      <c r="A1699" t="s">
        <v>110</v>
      </c>
      <c r="B1699" t="s">
        <v>107</v>
      </c>
      <c r="C1699" s="5">
        <v>45450</v>
      </c>
      <c r="D1699">
        <v>27</v>
      </c>
      <c r="E1699">
        <f>WEEKNUM(Append321[[#This Row],[Date]])</f>
        <v>23</v>
      </c>
    </row>
    <row r="1700" spans="1:5">
      <c r="A1700" t="s">
        <v>110</v>
      </c>
      <c r="B1700" t="s">
        <v>107</v>
      </c>
      <c r="C1700" s="5">
        <v>45451</v>
      </c>
      <c r="D1700">
        <v>13</v>
      </c>
      <c r="E1700">
        <f>WEEKNUM(Append321[[#This Row],[Date]])</f>
        <v>23</v>
      </c>
    </row>
    <row r="1701" spans="1:5">
      <c r="A1701" t="s">
        <v>110</v>
      </c>
      <c r="B1701" t="s">
        <v>107</v>
      </c>
      <c r="C1701" s="5">
        <v>45452</v>
      </c>
      <c r="D1701">
        <v>15</v>
      </c>
      <c r="E1701">
        <f>WEEKNUM(Append321[[#This Row],[Date]])</f>
        <v>24</v>
      </c>
    </row>
    <row r="1702" spans="1:5">
      <c r="A1702" t="s">
        <v>110</v>
      </c>
      <c r="B1702" t="s">
        <v>107</v>
      </c>
      <c r="C1702" s="5">
        <v>45453</v>
      </c>
      <c r="D1702">
        <v>19</v>
      </c>
      <c r="E1702">
        <f>WEEKNUM(Append321[[#This Row],[Date]])</f>
        <v>24</v>
      </c>
    </row>
    <row r="1703" spans="1:5">
      <c r="A1703" t="s">
        <v>110</v>
      </c>
      <c r="B1703" t="s">
        <v>107</v>
      </c>
      <c r="C1703" s="5">
        <v>45454</v>
      </c>
      <c r="D1703">
        <v>21</v>
      </c>
      <c r="E1703">
        <f>WEEKNUM(Append321[[#This Row],[Date]])</f>
        <v>24</v>
      </c>
    </row>
    <row r="1704" spans="1:5">
      <c r="A1704" t="s">
        <v>110</v>
      </c>
      <c r="B1704" t="s">
        <v>107</v>
      </c>
      <c r="C1704" s="5">
        <v>45455</v>
      </c>
      <c r="D1704">
        <v>19</v>
      </c>
      <c r="E1704">
        <f>WEEKNUM(Append321[[#This Row],[Date]])</f>
        <v>24</v>
      </c>
    </row>
    <row r="1705" spans="1:5">
      <c r="A1705" t="s">
        <v>110</v>
      </c>
      <c r="B1705" t="s">
        <v>107</v>
      </c>
      <c r="C1705" s="5">
        <v>45456</v>
      </c>
      <c r="D1705">
        <v>21</v>
      </c>
      <c r="E1705">
        <f>WEEKNUM(Append321[[#This Row],[Date]])</f>
        <v>24</v>
      </c>
    </row>
    <row r="1706" spans="1:5">
      <c r="A1706" t="s">
        <v>110</v>
      </c>
      <c r="B1706" t="s">
        <v>107</v>
      </c>
      <c r="C1706" s="5">
        <v>45457</v>
      </c>
      <c r="D1706">
        <v>27</v>
      </c>
      <c r="E1706">
        <f>WEEKNUM(Append321[[#This Row],[Date]])</f>
        <v>24</v>
      </c>
    </row>
    <row r="1707" spans="1:5">
      <c r="A1707" t="s">
        <v>110</v>
      </c>
      <c r="B1707" t="s">
        <v>107</v>
      </c>
      <c r="C1707" s="5">
        <v>45458</v>
      </c>
      <c r="D1707">
        <v>22</v>
      </c>
      <c r="E1707">
        <f>WEEKNUM(Append321[[#This Row],[Date]])</f>
        <v>24</v>
      </c>
    </row>
    <row r="1708" spans="1:5">
      <c r="A1708" t="s">
        <v>110</v>
      </c>
      <c r="B1708" t="s">
        <v>107</v>
      </c>
      <c r="C1708" s="5">
        <v>45459</v>
      </c>
      <c r="D1708">
        <v>22</v>
      </c>
      <c r="E1708">
        <f>WEEKNUM(Append321[[#This Row],[Date]])</f>
        <v>25</v>
      </c>
    </row>
    <row r="1709" spans="1:5">
      <c r="A1709" t="s">
        <v>110</v>
      </c>
      <c r="B1709" t="s">
        <v>107</v>
      </c>
      <c r="C1709" s="5">
        <v>45460</v>
      </c>
      <c r="D1709">
        <v>20</v>
      </c>
      <c r="E1709">
        <f>WEEKNUM(Append321[[#This Row],[Date]])</f>
        <v>25</v>
      </c>
    </row>
    <row r="1710" spans="1:5">
      <c r="A1710" t="s">
        <v>110</v>
      </c>
      <c r="B1710" t="s">
        <v>107</v>
      </c>
      <c r="C1710" s="5">
        <v>45461</v>
      </c>
      <c r="D1710">
        <v>18</v>
      </c>
      <c r="E1710">
        <f>WEEKNUM(Append321[[#This Row],[Date]])</f>
        <v>25</v>
      </c>
    </row>
    <row r="1711" spans="1:5">
      <c r="A1711" t="s">
        <v>110</v>
      </c>
      <c r="B1711" t="s">
        <v>107</v>
      </c>
      <c r="C1711" s="5">
        <v>45462</v>
      </c>
      <c r="D1711">
        <v>11</v>
      </c>
      <c r="E1711">
        <f>WEEKNUM(Append321[[#This Row],[Date]])</f>
        <v>25</v>
      </c>
    </row>
    <row r="1712" spans="1:5">
      <c r="A1712" t="s">
        <v>110</v>
      </c>
      <c r="B1712" t="s">
        <v>107</v>
      </c>
      <c r="C1712" s="5">
        <v>45463</v>
      </c>
      <c r="D1712">
        <v>7</v>
      </c>
      <c r="E1712">
        <f>WEEKNUM(Append321[[#This Row],[Date]])</f>
        <v>25</v>
      </c>
    </row>
    <row r="1713" spans="1:5">
      <c r="A1713" t="s">
        <v>110</v>
      </c>
      <c r="B1713" t="s">
        <v>107</v>
      </c>
      <c r="C1713" s="5">
        <v>45464</v>
      </c>
      <c r="D1713">
        <v>8</v>
      </c>
      <c r="E1713">
        <f>WEEKNUM(Append321[[#This Row],[Date]])</f>
        <v>25</v>
      </c>
    </row>
    <row r="1714" spans="1:5">
      <c r="A1714" t="s">
        <v>110</v>
      </c>
      <c r="B1714" t="s">
        <v>107</v>
      </c>
      <c r="C1714" s="5">
        <v>45465</v>
      </c>
      <c r="D1714">
        <v>13</v>
      </c>
      <c r="E1714">
        <f>WEEKNUM(Append321[[#This Row],[Date]])</f>
        <v>25</v>
      </c>
    </row>
    <row r="1715" spans="1:5">
      <c r="A1715" t="s">
        <v>110</v>
      </c>
      <c r="B1715" t="s">
        <v>107</v>
      </c>
      <c r="C1715" s="5">
        <v>45466</v>
      </c>
      <c r="D1715">
        <v>5</v>
      </c>
      <c r="E1715">
        <f>WEEKNUM(Append321[[#This Row],[Date]])</f>
        <v>26</v>
      </c>
    </row>
    <row r="1716" spans="1:5">
      <c r="A1716" t="s">
        <v>110</v>
      </c>
      <c r="B1716" t="s">
        <v>107</v>
      </c>
      <c r="C1716" s="5">
        <v>45467</v>
      </c>
      <c r="D1716">
        <v>3</v>
      </c>
      <c r="E1716">
        <f>WEEKNUM(Append321[[#This Row],[Date]])</f>
        <v>26</v>
      </c>
    </row>
    <row r="1717" spans="1:5">
      <c r="A1717" t="s">
        <v>110</v>
      </c>
      <c r="B1717" t="s">
        <v>107</v>
      </c>
      <c r="C1717" s="5">
        <v>45468</v>
      </c>
      <c r="D1717">
        <v>10</v>
      </c>
      <c r="E1717">
        <f>WEEKNUM(Append321[[#This Row],[Date]])</f>
        <v>26</v>
      </c>
    </row>
    <row r="1718" spans="1:5">
      <c r="A1718" t="s">
        <v>110</v>
      </c>
      <c r="B1718" t="s">
        <v>107</v>
      </c>
      <c r="C1718" s="5">
        <v>45469</v>
      </c>
      <c r="D1718">
        <v>8</v>
      </c>
      <c r="E1718">
        <f>WEEKNUM(Append321[[#This Row],[Date]])</f>
        <v>26</v>
      </c>
    </row>
    <row r="1719" spans="1:5">
      <c r="A1719" t="s">
        <v>110</v>
      </c>
      <c r="B1719" t="s">
        <v>107</v>
      </c>
      <c r="C1719" s="5">
        <v>45470</v>
      </c>
      <c r="D1719">
        <v>4</v>
      </c>
      <c r="E1719">
        <f>WEEKNUM(Append321[[#This Row],[Date]])</f>
        <v>26</v>
      </c>
    </row>
    <row r="1720" spans="1:5">
      <c r="A1720" t="s">
        <v>110</v>
      </c>
      <c r="B1720" t="s">
        <v>107</v>
      </c>
      <c r="C1720" s="5">
        <v>45471</v>
      </c>
      <c r="D1720">
        <v>2</v>
      </c>
      <c r="E1720">
        <f>WEEKNUM(Append321[[#This Row],[Date]])</f>
        <v>26</v>
      </c>
    </row>
    <row r="1721" spans="1:5">
      <c r="A1721" t="s">
        <v>110</v>
      </c>
      <c r="B1721" t="s">
        <v>107</v>
      </c>
      <c r="C1721" s="5">
        <v>45472</v>
      </c>
      <c r="D1721">
        <v>9</v>
      </c>
      <c r="E1721">
        <f>WEEKNUM(Append321[[#This Row],[Date]])</f>
        <v>26</v>
      </c>
    </row>
    <row r="1722" spans="1:5">
      <c r="A1722" t="s">
        <v>110</v>
      </c>
      <c r="B1722" t="s">
        <v>107</v>
      </c>
      <c r="C1722" s="5">
        <v>45473</v>
      </c>
      <c r="D1722">
        <v>5</v>
      </c>
      <c r="E1722">
        <f>WEEKNUM(Append321[[#This Row],[Date]])</f>
        <v>27</v>
      </c>
    </row>
    <row r="1723" spans="1:5">
      <c r="A1723" t="s">
        <v>110</v>
      </c>
      <c r="B1723" t="s">
        <v>107</v>
      </c>
      <c r="C1723" s="5">
        <v>45494</v>
      </c>
      <c r="D1723">
        <v>1</v>
      </c>
      <c r="E1723">
        <f>WEEKNUM(Append321[[#This Row],[Date]])</f>
        <v>30</v>
      </c>
    </row>
    <row r="1724" spans="1:5">
      <c r="A1724" t="s">
        <v>110</v>
      </c>
      <c r="B1724" t="s">
        <v>107</v>
      </c>
      <c r="C1724" s="5">
        <v>45495</v>
      </c>
      <c r="D1724">
        <v>3</v>
      </c>
      <c r="E1724">
        <f>WEEKNUM(Append321[[#This Row],[Date]])</f>
        <v>30</v>
      </c>
    </row>
    <row r="1725" spans="1:5">
      <c r="A1725" t="s">
        <v>110</v>
      </c>
      <c r="B1725" t="s">
        <v>107</v>
      </c>
      <c r="C1725" s="5">
        <v>45496</v>
      </c>
      <c r="D1725">
        <v>4</v>
      </c>
      <c r="E1725">
        <f>WEEKNUM(Append321[[#This Row],[Date]])</f>
        <v>30</v>
      </c>
    </row>
    <row r="1726" spans="1:5">
      <c r="A1726" t="s">
        <v>110</v>
      </c>
      <c r="B1726" t="s">
        <v>107</v>
      </c>
      <c r="C1726" s="5">
        <v>45497</v>
      </c>
      <c r="D1726">
        <v>7</v>
      </c>
      <c r="E1726">
        <f>WEEKNUM(Append321[[#This Row],[Date]])</f>
        <v>30</v>
      </c>
    </row>
    <row r="1727" spans="1:5">
      <c r="A1727" t="s">
        <v>110</v>
      </c>
      <c r="B1727" t="s">
        <v>107</v>
      </c>
      <c r="C1727" s="5">
        <v>45498</v>
      </c>
      <c r="D1727">
        <v>7</v>
      </c>
      <c r="E1727">
        <f>WEEKNUM(Append321[[#This Row],[Date]])</f>
        <v>30</v>
      </c>
    </row>
    <row r="1728" spans="1:5">
      <c r="A1728" t="s">
        <v>110</v>
      </c>
      <c r="B1728" t="s">
        <v>107</v>
      </c>
      <c r="C1728" s="5">
        <v>45499</v>
      </c>
      <c r="D1728">
        <v>16</v>
      </c>
      <c r="E1728">
        <f>WEEKNUM(Append321[[#This Row],[Date]])</f>
        <v>30</v>
      </c>
    </row>
    <row r="1729" spans="1:5">
      <c r="A1729" t="s">
        <v>110</v>
      </c>
      <c r="B1729" t="s">
        <v>107</v>
      </c>
      <c r="C1729" s="5">
        <v>45500</v>
      </c>
      <c r="D1729">
        <v>24</v>
      </c>
      <c r="E1729">
        <f>WEEKNUM(Append321[[#This Row],[Date]])</f>
        <v>30</v>
      </c>
    </row>
    <row r="1730" spans="1:5">
      <c r="A1730" t="s">
        <v>110</v>
      </c>
      <c r="B1730" t="s">
        <v>107</v>
      </c>
      <c r="C1730" s="5">
        <v>45501</v>
      </c>
      <c r="D1730">
        <v>14</v>
      </c>
      <c r="E1730">
        <f>WEEKNUM(Append321[[#This Row],[Date]])</f>
        <v>31</v>
      </c>
    </row>
    <row r="1731" spans="1:5">
      <c r="A1731" t="s">
        <v>110</v>
      </c>
      <c r="B1731" t="s">
        <v>107</v>
      </c>
      <c r="C1731" s="5">
        <v>45502</v>
      </c>
      <c r="D1731">
        <v>22</v>
      </c>
      <c r="E1731">
        <f>WEEKNUM(Append321[[#This Row],[Date]])</f>
        <v>31</v>
      </c>
    </row>
    <row r="1732" spans="1:5">
      <c r="A1732" t="s">
        <v>110</v>
      </c>
      <c r="B1732" t="s">
        <v>107</v>
      </c>
      <c r="C1732" s="5">
        <v>45503</v>
      </c>
      <c r="D1732">
        <v>24</v>
      </c>
      <c r="E1732">
        <f>WEEKNUM(Append321[[#This Row],[Date]])</f>
        <v>31</v>
      </c>
    </row>
    <row r="1733" spans="1:5">
      <c r="A1733" t="s">
        <v>110</v>
      </c>
      <c r="B1733" t="s">
        <v>107</v>
      </c>
      <c r="C1733" s="5">
        <v>45504</v>
      </c>
      <c r="D1733">
        <v>18</v>
      </c>
      <c r="E1733">
        <f>WEEKNUM(Append321[[#This Row],[Date]])</f>
        <v>31</v>
      </c>
    </row>
    <row r="1734" spans="1:5">
      <c r="A1734" t="s">
        <v>110</v>
      </c>
      <c r="B1734" t="s">
        <v>107</v>
      </c>
      <c r="C1734" s="5">
        <v>45505</v>
      </c>
      <c r="D1734">
        <v>14</v>
      </c>
      <c r="E1734">
        <f>WEEKNUM(Append321[[#This Row],[Date]])</f>
        <v>31</v>
      </c>
    </row>
    <row r="1735" spans="1:5">
      <c r="A1735" t="s">
        <v>110</v>
      </c>
      <c r="B1735" t="s">
        <v>107</v>
      </c>
      <c r="C1735" s="5">
        <v>45506</v>
      </c>
      <c r="D1735">
        <v>12</v>
      </c>
      <c r="E1735">
        <f>WEEKNUM(Append321[[#This Row],[Date]])</f>
        <v>31</v>
      </c>
    </row>
    <row r="1736" spans="1:5">
      <c r="A1736" t="s">
        <v>110</v>
      </c>
      <c r="B1736" t="s">
        <v>107</v>
      </c>
      <c r="C1736" s="5">
        <v>45507</v>
      </c>
      <c r="D1736">
        <v>9</v>
      </c>
      <c r="E1736">
        <f>WEEKNUM(Append321[[#This Row],[Date]])</f>
        <v>31</v>
      </c>
    </row>
    <row r="1737" spans="1:5">
      <c r="A1737" t="s">
        <v>110</v>
      </c>
      <c r="B1737" t="s">
        <v>107</v>
      </c>
      <c r="C1737" s="5">
        <v>45508</v>
      </c>
      <c r="D1737">
        <v>10</v>
      </c>
      <c r="E1737">
        <f>WEEKNUM(Append321[[#This Row],[Date]])</f>
        <v>32</v>
      </c>
    </row>
    <row r="1738" spans="1:5">
      <c r="A1738" t="s">
        <v>110</v>
      </c>
      <c r="B1738" t="s">
        <v>107</v>
      </c>
      <c r="C1738" s="5">
        <v>45509</v>
      </c>
      <c r="D1738">
        <v>16</v>
      </c>
      <c r="E1738">
        <f>WEEKNUM(Append321[[#This Row],[Date]])</f>
        <v>32</v>
      </c>
    </row>
    <row r="1739" spans="1:5">
      <c r="A1739" t="s">
        <v>110</v>
      </c>
      <c r="B1739" t="s">
        <v>107</v>
      </c>
      <c r="C1739" s="5">
        <v>45510</v>
      </c>
      <c r="D1739">
        <v>20</v>
      </c>
      <c r="E1739">
        <f>WEEKNUM(Append321[[#This Row],[Date]])</f>
        <v>32</v>
      </c>
    </row>
    <row r="1740" spans="1:5">
      <c r="A1740" t="s">
        <v>110</v>
      </c>
      <c r="B1740" t="s">
        <v>107</v>
      </c>
      <c r="C1740" s="5">
        <v>45511</v>
      </c>
      <c r="D1740">
        <v>11</v>
      </c>
      <c r="E1740">
        <f>WEEKNUM(Append321[[#This Row],[Date]])</f>
        <v>32</v>
      </c>
    </row>
    <row r="1741" spans="1:5">
      <c r="A1741" t="s">
        <v>110</v>
      </c>
      <c r="B1741" t="s">
        <v>107</v>
      </c>
      <c r="C1741" s="5">
        <v>45512</v>
      </c>
      <c r="D1741">
        <v>10</v>
      </c>
      <c r="E1741">
        <f>WEEKNUM(Append321[[#This Row],[Date]])</f>
        <v>32</v>
      </c>
    </row>
    <row r="1742" spans="1:5">
      <c r="A1742" t="s">
        <v>110</v>
      </c>
      <c r="B1742" t="s">
        <v>107</v>
      </c>
      <c r="C1742" s="5">
        <v>45513</v>
      </c>
      <c r="D1742">
        <v>14</v>
      </c>
      <c r="E1742">
        <f>WEEKNUM(Append321[[#This Row],[Date]])</f>
        <v>32</v>
      </c>
    </row>
    <row r="1743" spans="1:5">
      <c r="A1743" t="s">
        <v>110</v>
      </c>
      <c r="B1743" t="s">
        <v>107</v>
      </c>
      <c r="C1743" s="5">
        <v>45514</v>
      </c>
      <c r="D1743">
        <v>17</v>
      </c>
      <c r="E1743">
        <f>WEEKNUM(Append321[[#This Row],[Date]])</f>
        <v>32</v>
      </c>
    </row>
    <row r="1744" spans="1:5">
      <c r="A1744" t="s">
        <v>110</v>
      </c>
      <c r="B1744" t="s">
        <v>107</v>
      </c>
      <c r="C1744" s="5">
        <v>45515</v>
      </c>
      <c r="D1744">
        <v>18</v>
      </c>
      <c r="E1744">
        <f>WEEKNUM(Append321[[#This Row],[Date]])</f>
        <v>33</v>
      </c>
    </row>
    <row r="1745" spans="1:5">
      <c r="A1745" t="s">
        <v>110</v>
      </c>
      <c r="B1745" t="s">
        <v>107</v>
      </c>
      <c r="C1745" s="5">
        <v>45516</v>
      </c>
      <c r="D1745">
        <v>39</v>
      </c>
      <c r="E1745">
        <f>WEEKNUM(Append321[[#This Row],[Date]])</f>
        <v>33</v>
      </c>
    </row>
    <row r="1746" spans="1:5">
      <c r="A1746" t="s">
        <v>110</v>
      </c>
      <c r="B1746" t="s">
        <v>107</v>
      </c>
      <c r="C1746" s="5">
        <v>45517</v>
      </c>
      <c r="D1746">
        <v>23</v>
      </c>
      <c r="E1746">
        <f>WEEKNUM(Append321[[#This Row],[Date]])</f>
        <v>33</v>
      </c>
    </row>
    <row r="1747" spans="1:5">
      <c r="A1747" t="s">
        <v>110</v>
      </c>
      <c r="B1747" t="s">
        <v>107</v>
      </c>
      <c r="C1747" s="5">
        <v>45518</v>
      </c>
      <c r="D1747">
        <v>20</v>
      </c>
      <c r="E1747">
        <f>WEEKNUM(Append321[[#This Row],[Date]])</f>
        <v>33</v>
      </c>
    </row>
    <row r="1748" spans="1:5">
      <c r="A1748" t="s">
        <v>110</v>
      </c>
      <c r="B1748" t="s">
        <v>107</v>
      </c>
      <c r="C1748" s="5">
        <v>45519</v>
      </c>
      <c r="D1748">
        <v>23</v>
      </c>
      <c r="E1748">
        <f>WEEKNUM(Append321[[#This Row],[Date]])</f>
        <v>33</v>
      </c>
    </row>
    <row r="1749" spans="1:5">
      <c r="A1749" t="s">
        <v>110</v>
      </c>
      <c r="B1749" t="s">
        <v>107</v>
      </c>
      <c r="C1749" s="5">
        <v>45520</v>
      </c>
      <c r="D1749">
        <v>29</v>
      </c>
      <c r="E1749">
        <f>WEEKNUM(Append321[[#This Row],[Date]])</f>
        <v>33</v>
      </c>
    </row>
    <row r="1750" spans="1:5">
      <c r="A1750" t="s">
        <v>110</v>
      </c>
      <c r="B1750" t="s">
        <v>107</v>
      </c>
      <c r="C1750" s="5">
        <v>45521</v>
      </c>
      <c r="D1750">
        <v>20</v>
      </c>
      <c r="E1750">
        <f>WEEKNUM(Append321[[#This Row],[Date]])</f>
        <v>33</v>
      </c>
    </row>
    <row r="1751" spans="1:5">
      <c r="A1751" t="s">
        <v>110</v>
      </c>
      <c r="B1751" t="s">
        <v>107</v>
      </c>
      <c r="C1751" s="5">
        <v>45522</v>
      </c>
      <c r="D1751">
        <v>25</v>
      </c>
      <c r="E1751">
        <f>WEEKNUM(Append321[[#This Row],[Date]])</f>
        <v>34</v>
      </c>
    </row>
    <row r="1752" spans="1:5">
      <c r="A1752" t="s">
        <v>110</v>
      </c>
      <c r="B1752" t="s">
        <v>107</v>
      </c>
      <c r="C1752" s="5">
        <v>45523</v>
      </c>
      <c r="D1752">
        <v>30</v>
      </c>
      <c r="E1752">
        <f>WEEKNUM(Append321[[#This Row],[Date]])</f>
        <v>34</v>
      </c>
    </row>
    <row r="1753" spans="1:5">
      <c r="A1753" t="s">
        <v>110</v>
      </c>
      <c r="B1753" t="s">
        <v>107</v>
      </c>
      <c r="C1753" s="5">
        <v>45524</v>
      </c>
      <c r="D1753">
        <v>19</v>
      </c>
      <c r="E1753">
        <f>WEEKNUM(Append321[[#This Row],[Date]])</f>
        <v>34</v>
      </c>
    </row>
    <row r="1754" spans="1:5">
      <c r="A1754" t="s">
        <v>110</v>
      </c>
      <c r="B1754" t="s">
        <v>107</v>
      </c>
      <c r="C1754" s="5">
        <v>45525</v>
      </c>
      <c r="D1754">
        <v>29</v>
      </c>
      <c r="E1754">
        <f>WEEKNUM(Append321[[#This Row],[Date]])</f>
        <v>34</v>
      </c>
    </row>
    <row r="1755" spans="1:5">
      <c r="A1755" t="s">
        <v>110</v>
      </c>
      <c r="B1755" t="s">
        <v>107</v>
      </c>
      <c r="C1755" s="5">
        <v>45526</v>
      </c>
      <c r="D1755">
        <v>19</v>
      </c>
      <c r="E1755">
        <f>WEEKNUM(Append321[[#This Row],[Date]])</f>
        <v>34</v>
      </c>
    </row>
    <row r="1756" spans="1:5">
      <c r="A1756" t="s">
        <v>110</v>
      </c>
      <c r="B1756" t="s">
        <v>107</v>
      </c>
      <c r="C1756" s="5">
        <v>45527</v>
      </c>
      <c r="D1756">
        <v>27</v>
      </c>
      <c r="E1756">
        <f>WEEKNUM(Append321[[#This Row],[Date]])</f>
        <v>34</v>
      </c>
    </row>
    <row r="1757" spans="1:5">
      <c r="A1757" t="s">
        <v>110</v>
      </c>
      <c r="B1757" t="s">
        <v>107</v>
      </c>
      <c r="C1757" s="5">
        <v>45528</v>
      </c>
      <c r="D1757">
        <v>24</v>
      </c>
      <c r="E1757">
        <f>WEEKNUM(Append321[[#This Row],[Date]])</f>
        <v>34</v>
      </c>
    </row>
    <row r="1758" spans="1:5">
      <c r="A1758" t="s">
        <v>110</v>
      </c>
      <c r="B1758" t="s">
        <v>107</v>
      </c>
      <c r="C1758" s="5">
        <v>45529</v>
      </c>
      <c r="D1758">
        <v>26</v>
      </c>
      <c r="E1758">
        <f>WEEKNUM(Append321[[#This Row],[Date]])</f>
        <v>35</v>
      </c>
    </row>
    <row r="1759" spans="1:5">
      <c r="A1759" t="s">
        <v>110</v>
      </c>
      <c r="B1759" t="s">
        <v>107</v>
      </c>
      <c r="C1759" s="5">
        <v>45530</v>
      </c>
      <c r="D1759">
        <v>20</v>
      </c>
      <c r="E1759">
        <f>WEEKNUM(Append321[[#This Row],[Date]])</f>
        <v>35</v>
      </c>
    </row>
    <row r="1760" spans="1:5">
      <c r="A1760" t="s">
        <v>110</v>
      </c>
      <c r="B1760" t="s">
        <v>107</v>
      </c>
      <c r="C1760" s="5">
        <v>45531</v>
      </c>
      <c r="D1760">
        <v>31</v>
      </c>
      <c r="E1760">
        <f>WEEKNUM(Append321[[#This Row],[Date]])</f>
        <v>35</v>
      </c>
    </row>
    <row r="1761" spans="1:5">
      <c r="A1761" t="s">
        <v>110</v>
      </c>
      <c r="B1761" t="s">
        <v>107</v>
      </c>
      <c r="C1761" s="5">
        <v>45532</v>
      </c>
      <c r="D1761">
        <v>27</v>
      </c>
      <c r="E1761">
        <f>WEEKNUM(Append321[[#This Row],[Date]])</f>
        <v>35</v>
      </c>
    </row>
    <row r="1762" spans="1:5">
      <c r="A1762" t="s">
        <v>110</v>
      </c>
      <c r="B1762" t="s">
        <v>107</v>
      </c>
      <c r="C1762" s="5">
        <v>45533</v>
      </c>
      <c r="D1762">
        <v>25</v>
      </c>
      <c r="E1762">
        <f>WEEKNUM(Append321[[#This Row],[Date]])</f>
        <v>35</v>
      </c>
    </row>
    <row r="1763" spans="1:5">
      <c r="A1763" t="s">
        <v>110</v>
      </c>
      <c r="B1763" t="s">
        <v>107</v>
      </c>
      <c r="C1763" s="5">
        <v>45534</v>
      </c>
      <c r="D1763">
        <v>24</v>
      </c>
      <c r="E1763">
        <f>WEEKNUM(Append321[[#This Row],[Date]])</f>
        <v>35</v>
      </c>
    </row>
    <row r="1764" spans="1:5">
      <c r="A1764" t="s">
        <v>110</v>
      </c>
      <c r="B1764" t="s">
        <v>107</v>
      </c>
      <c r="C1764" s="5">
        <v>45535</v>
      </c>
      <c r="D1764">
        <v>39</v>
      </c>
      <c r="E1764">
        <f>WEEKNUM(Append321[[#This Row],[Date]])</f>
        <v>35</v>
      </c>
    </row>
    <row r="1765" spans="1:5">
      <c r="A1765" t="s">
        <v>110</v>
      </c>
      <c r="B1765" t="s">
        <v>108</v>
      </c>
      <c r="C1765" s="5">
        <v>45506</v>
      </c>
      <c r="D1765">
        <v>2</v>
      </c>
      <c r="E1765">
        <f>WEEKNUM(Append321[[#This Row],[Date]])</f>
        <v>31</v>
      </c>
    </row>
    <row r="1766" spans="1:5">
      <c r="A1766" t="s">
        <v>110</v>
      </c>
      <c r="B1766" t="s">
        <v>108</v>
      </c>
      <c r="C1766" s="5">
        <v>45507</v>
      </c>
      <c r="D1766">
        <v>2</v>
      </c>
      <c r="E1766">
        <f>WEEKNUM(Append321[[#This Row],[Date]])</f>
        <v>31</v>
      </c>
    </row>
    <row r="1767" spans="1:5">
      <c r="A1767" t="s">
        <v>110</v>
      </c>
      <c r="B1767" t="s">
        <v>108</v>
      </c>
      <c r="C1767" s="5">
        <v>45508</v>
      </c>
      <c r="D1767">
        <v>1</v>
      </c>
      <c r="E1767">
        <f>WEEKNUM(Append321[[#This Row],[Date]])</f>
        <v>32</v>
      </c>
    </row>
    <row r="1768" spans="1:5">
      <c r="A1768" t="s">
        <v>110</v>
      </c>
      <c r="B1768" t="s">
        <v>108</v>
      </c>
      <c r="C1768" s="5">
        <v>45509</v>
      </c>
      <c r="D1768">
        <v>4</v>
      </c>
      <c r="E1768">
        <f>WEEKNUM(Append321[[#This Row],[Date]])</f>
        <v>32</v>
      </c>
    </row>
    <row r="1769" spans="1:5">
      <c r="A1769" t="s">
        <v>110</v>
      </c>
      <c r="B1769" t="s">
        <v>108</v>
      </c>
      <c r="C1769" s="5">
        <v>45510</v>
      </c>
      <c r="D1769">
        <v>3</v>
      </c>
      <c r="E1769">
        <f>WEEKNUM(Append321[[#This Row],[Date]])</f>
        <v>32</v>
      </c>
    </row>
    <row r="1770" spans="1:5">
      <c r="A1770" t="s">
        <v>110</v>
      </c>
      <c r="B1770" t="s">
        <v>108</v>
      </c>
      <c r="C1770" s="5">
        <v>45511</v>
      </c>
      <c r="D1770">
        <v>6</v>
      </c>
      <c r="E1770">
        <f>WEEKNUM(Append321[[#This Row],[Date]])</f>
        <v>32</v>
      </c>
    </row>
    <row r="1771" spans="1:5">
      <c r="A1771" t="s">
        <v>110</v>
      </c>
      <c r="B1771" t="s">
        <v>108</v>
      </c>
      <c r="C1771" s="5">
        <v>45512</v>
      </c>
      <c r="D1771">
        <v>4</v>
      </c>
      <c r="E1771">
        <f>WEEKNUM(Append321[[#This Row],[Date]])</f>
        <v>32</v>
      </c>
    </row>
    <row r="1772" spans="1:5">
      <c r="A1772" t="s">
        <v>110</v>
      </c>
      <c r="B1772" t="s">
        <v>108</v>
      </c>
      <c r="C1772" s="5">
        <v>45513</v>
      </c>
      <c r="D1772">
        <v>4</v>
      </c>
      <c r="E1772">
        <f>WEEKNUM(Append321[[#This Row],[Date]])</f>
        <v>32</v>
      </c>
    </row>
    <row r="1773" spans="1:5">
      <c r="A1773" t="s">
        <v>110</v>
      </c>
      <c r="B1773" t="s">
        <v>108</v>
      </c>
      <c r="C1773" s="5">
        <v>45514</v>
      </c>
      <c r="D1773">
        <v>2</v>
      </c>
      <c r="E1773">
        <f>WEEKNUM(Append321[[#This Row],[Date]])</f>
        <v>32</v>
      </c>
    </row>
    <row r="1774" spans="1:5">
      <c r="A1774" t="s">
        <v>110</v>
      </c>
      <c r="B1774" t="s">
        <v>108</v>
      </c>
      <c r="C1774" s="5">
        <v>45515</v>
      </c>
      <c r="D1774">
        <v>4</v>
      </c>
      <c r="E1774">
        <f>WEEKNUM(Append321[[#This Row],[Date]])</f>
        <v>33</v>
      </c>
    </row>
    <row r="1775" spans="1:5">
      <c r="A1775" t="s">
        <v>110</v>
      </c>
      <c r="B1775" t="s">
        <v>108</v>
      </c>
      <c r="C1775" s="5">
        <v>45517</v>
      </c>
      <c r="D1775">
        <v>4</v>
      </c>
      <c r="E1775">
        <f>WEEKNUM(Append321[[#This Row],[Date]])</f>
        <v>33</v>
      </c>
    </row>
    <row r="1776" spans="1:5">
      <c r="A1776" t="s">
        <v>110</v>
      </c>
      <c r="B1776" t="s">
        <v>108</v>
      </c>
      <c r="C1776" s="5">
        <v>45518</v>
      </c>
      <c r="D1776">
        <v>6</v>
      </c>
      <c r="E1776">
        <f>WEEKNUM(Append321[[#This Row],[Date]])</f>
        <v>33</v>
      </c>
    </row>
    <row r="1777" spans="1:5">
      <c r="A1777" t="s">
        <v>110</v>
      </c>
      <c r="B1777" t="s">
        <v>108</v>
      </c>
      <c r="C1777" s="5">
        <v>45519</v>
      </c>
      <c r="D1777">
        <v>7</v>
      </c>
      <c r="E1777">
        <f>WEEKNUM(Append321[[#This Row],[Date]])</f>
        <v>33</v>
      </c>
    </row>
    <row r="1778" spans="1:5">
      <c r="A1778" t="s">
        <v>110</v>
      </c>
      <c r="B1778" t="s">
        <v>108</v>
      </c>
      <c r="C1778" s="5">
        <v>45520</v>
      </c>
      <c r="D1778">
        <v>1</v>
      </c>
      <c r="E1778">
        <f>WEEKNUM(Append321[[#This Row],[Date]])</f>
        <v>33</v>
      </c>
    </row>
    <row r="1779" spans="1:5">
      <c r="A1779" t="s">
        <v>110</v>
      </c>
      <c r="B1779" t="s">
        <v>108</v>
      </c>
      <c r="C1779" s="5">
        <v>45521</v>
      </c>
      <c r="D1779">
        <v>6</v>
      </c>
      <c r="E1779">
        <f>WEEKNUM(Append321[[#This Row],[Date]])</f>
        <v>33</v>
      </c>
    </row>
    <row r="1780" spans="1:5">
      <c r="A1780" t="s">
        <v>110</v>
      </c>
      <c r="B1780" t="s">
        <v>108</v>
      </c>
      <c r="C1780" s="5">
        <v>45522</v>
      </c>
      <c r="D1780">
        <v>3</v>
      </c>
      <c r="E1780">
        <f>WEEKNUM(Append321[[#This Row],[Date]])</f>
        <v>34</v>
      </c>
    </row>
    <row r="1781" spans="1:5">
      <c r="A1781" t="s">
        <v>110</v>
      </c>
      <c r="B1781" t="s">
        <v>108</v>
      </c>
      <c r="C1781" s="5">
        <v>45523</v>
      </c>
      <c r="D1781">
        <v>1</v>
      </c>
      <c r="E1781">
        <f>WEEKNUM(Append321[[#This Row],[Date]])</f>
        <v>34</v>
      </c>
    </row>
    <row r="1782" spans="1:5">
      <c r="A1782" t="s">
        <v>110</v>
      </c>
      <c r="B1782" t="s">
        <v>108</v>
      </c>
      <c r="C1782" s="5">
        <v>45524</v>
      </c>
      <c r="D1782">
        <v>5</v>
      </c>
      <c r="E1782">
        <f>WEEKNUM(Append321[[#This Row],[Date]])</f>
        <v>34</v>
      </c>
    </row>
    <row r="1783" spans="1:5">
      <c r="A1783" t="s">
        <v>110</v>
      </c>
      <c r="B1783" t="s">
        <v>108</v>
      </c>
      <c r="C1783" s="5">
        <v>45525</v>
      </c>
      <c r="D1783">
        <v>4</v>
      </c>
      <c r="E1783">
        <f>WEEKNUM(Append321[[#This Row],[Date]])</f>
        <v>34</v>
      </c>
    </row>
    <row r="1784" spans="1:5">
      <c r="A1784" t="s">
        <v>110</v>
      </c>
      <c r="B1784" t="s">
        <v>108</v>
      </c>
      <c r="C1784" s="5">
        <v>45526</v>
      </c>
      <c r="D1784">
        <v>1</v>
      </c>
      <c r="E1784">
        <f>WEEKNUM(Append321[[#This Row],[Date]])</f>
        <v>34</v>
      </c>
    </row>
    <row r="1785" spans="1:5">
      <c r="A1785" t="s">
        <v>110</v>
      </c>
      <c r="B1785" t="s">
        <v>108</v>
      </c>
      <c r="C1785" s="5">
        <v>45527</v>
      </c>
      <c r="D1785">
        <v>4</v>
      </c>
      <c r="E1785">
        <f>WEEKNUM(Append321[[#This Row],[Date]])</f>
        <v>34</v>
      </c>
    </row>
    <row r="1786" spans="1:5">
      <c r="A1786" t="s">
        <v>110</v>
      </c>
      <c r="B1786" t="s">
        <v>108</v>
      </c>
      <c r="C1786" s="5">
        <v>45528</v>
      </c>
      <c r="D1786">
        <v>3</v>
      </c>
      <c r="E1786">
        <f>WEEKNUM(Append321[[#This Row],[Date]])</f>
        <v>34</v>
      </c>
    </row>
    <row r="1787" spans="1:5">
      <c r="A1787" t="s">
        <v>110</v>
      </c>
      <c r="B1787" t="s">
        <v>108</v>
      </c>
      <c r="C1787" s="5">
        <v>45529</v>
      </c>
      <c r="D1787">
        <v>1</v>
      </c>
      <c r="E1787">
        <f>WEEKNUM(Append321[[#This Row],[Date]])</f>
        <v>35</v>
      </c>
    </row>
    <row r="1788" spans="1:5">
      <c r="A1788" t="s">
        <v>110</v>
      </c>
      <c r="B1788" t="s">
        <v>108</v>
      </c>
      <c r="C1788" s="5">
        <v>45530</v>
      </c>
      <c r="D1788">
        <v>4</v>
      </c>
      <c r="E1788">
        <f>WEEKNUM(Append321[[#This Row],[Date]])</f>
        <v>35</v>
      </c>
    </row>
    <row r="1789" spans="1:5">
      <c r="A1789" t="s">
        <v>110</v>
      </c>
      <c r="B1789" t="s">
        <v>108</v>
      </c>
      <c r="C1789" s="5">
        <v>45531</v>
      </c>
      <c r="D1789">
        <v>3</v>
      </c>
      <c r="E1789">
        <f>WEEKNUM(Append321[[#This Row],[Date]])</f>
        <v>35</v>
      </c>
    </row>
    <row r="1790" spans="1:5">
      <c r="A1790" t="s">
        <v>110</v>
      </c>
      <c r="B1790" t="s">
        <v>108</v>
      </c>
      <c r="C1790" s="5">
        <v>45532</v>
      </c>
      <c r="D1790">
        <v>1</v>
      </c>
      <c r="E1790">
        <f>WEEKNUM(Append321[[#This Row],[Date]])</f>
        <v>35</v>
      </c>
    </row>
    <row r="1791" spans="1:5">
      <c r="A1791" t="s">
        <v>110</v>
      </c>
      <c r="B1791" t="s">
        <v>108</v>
      </c>
      <c r="C1791" s="5">
        <v>45533</v>
      </c>
      <c r="D1791">
        <v>6</v>
      </c>
      <c r="E1791">
        <f>WEEKNUM(Append321[[#This Row],[Date]])</f>
        <v>35</v>
      </c>
    </row>
    <row r="1792" spans="1:5">
      <c r="A1792" t="s">
        <v>110</v>
      </c>
      <c r="B1792" t="s">
        <v>108</v>
      </c>
      <c r="C1792" s="5">
        <v>45534</v>
      </c>
      <c r="D1792">
        <v>5</v>
      </c>
      <c r="E1792">
        <f>WEEKNUM(Append321[[#This Row],[Date]])</f>
        <v>35</v>
      </c>
    </row>
    <row r="1793" spans="1:5">
      <c r="A1793" t="s">
        <v>110</v>
      </c>
      <c r="B1793" t="s">
        <v>108</v>
      </c>
      <c r="C1793" s="5">
        <v>45535</v>
      </c>
      <c r="D1793">
        <v>2</v>
      </c>
      <c r="E1793">
        <f>WEEKNUM(Append321[[#This Row],[Date]])</f>
        <v>35</v>
      </c>
    </row>
    <row r="1794" spans="1:5">
      <c r="A1794" t="s">
        <v>111</v>
      </c>
      <c r="B1794" t="s">
        <v>94</v>
      </c>
      <c r="C1794" s="5">
        <v>45527</v>
      </c>
      <c r="D1794">
        <v>1</v>
      </c>
      <c r="E1794">
        <f>WEEKNUM(Append321[[#This Row],[Date]])</f>
        <v>34</v>
      </c>
    </row>
    <row r="1795" spans="1:5">
      <c r="A1795" t="s">
        <v>111</v>
      </c>
      <c r="B1795" t="s">
        <v>94</v>
      </c>
      <c r="C1795" s="5">
        <v>45529</v>
      </c>
      <c r="D1795">
        <v>1</v>
      </c>
      <c r="E1795">
        <f>WEEKNUM(Append321[[#This Row],[Date]])</f>
        <v>35</v>
      </c>
    </row>
    <row r="1796" spans="1:5">
      <c r="A1796" t="s">
        <v>111</v>
      </c>
      <c r="B1796" t="s">
        <v>94</v>
      </c>
      <c r="C1796" s="5">
        <v>45530</v>
      </c>
      <c r="D1796">
        <v>2</v>
      </c>
      <c r="E1796">
        <f>WEEKNUM(Append321[[#This Row],[Date]])</f>
        <v>35</v>
      </c>
    </row>
    <row r="1797" spans="1:5">
      <c r="A1797" t="s">
        <v>111</v>
      </c>
      <c r="B1797" t="s">
        <v>94</v>
      </c>
      <c r="C1797" s="5">
        <v>45531</v>
      </c>
      <c r="D1797">
        <v>6</v>
      </c>
      <c r="E1797">
        <f>WEEKNUM(Append321[[#This Row],[Date]])</f>
        <v>35</v>
      </c>
    </row>
    <row r="1798" spans="1:5">
      <c r="A1798" t="s">
        <v>111</v>
      </c>
      <c r="B1798" t="s">
        <v>94</v>
      </c>
      <c r="C1798" s="5">
        <v>45532</v>
      </c>
      <c r="D1798">
        <v>6</v>
      </c>
      <c r="E1798">
        <f>WEEKNUM(Append321[[#This Row],[Date]])</f>
        <v>35</v>
      </c>
    </row>
    <row r="1799" spans="1:5">
      <c r="A1799" t="s">
        <v>111</v>
      </c>
      <c r="B1799" t="s">
        <v>94</v>
      </c>
      <c r="C1799" s="5">
        <v>45533</v>
      </c>
      <c r="D1799">
        <v>3</v>
      </c>
      <c r="E1799">
        <f>WEEKNUM(Append321[[#This Row],[Date]])</f>
        <v>35</v>
      </c>
    </row>
    <row r="1800" spans="1:5">
      <c r="A1800" t="s">
        <v>111</v>
      </c>
      <c r="B1800" t="s">
        <v>94</v>
      </c>
      <c r="C1800" s="5">
        <v>45534</v>
      </c>
      <c r="D1800">
        <v>15</v>
      </c>
      <c r="E1800">
        <f>WEEKNUM(Append321[[#This Row],[Date]])</f>
        <v>35</v>
      </c>
    </row>
    <row r="1801" spans="1:5">
      <c r="A1801" t="s">
        <v>111</v>
      </c>
      <c r="B1801" t="s">
        <v>94</v>
      </c>
      <c r="C1801" s="5">
        <v>45535</v>
      </c>
      <c r="D1801">
        <v>6</v>
      </c>
      <c r="E1801">
        <f>WEEKNUM(Append321[[#This Row],[Date]])</f>
        <v>35</v>
      </c>
    </row>
    <row r="1802" spans="1:5">
      <c r="A1802" t="s">
        <v>111</v>
      </c>
      <c r="B1802" t="s">
        <v>95</v>
      </c>
      <c r="C1802" s="5">
        <v>45444</v>
      </c>
      <c r="D1802">
        <v>103</v>
      </c>
      <c r="E1802">
        <f>WEEKNUM(Append321[[#This Row],[Date]])</f>
        <v>22</v>
      </c>
    </row>
    <row r="1803" spans="1:5">
      <c r="A1803" t="s">
        <v>111</v>
      </c>
      <c r="B1803" t="s">
        <v>95</v>
      </c>
      <c r="C1803" s="5">
        <v>45445</v>
      </c>
      <c r="D1803">
        <v>78</v>
      </c>
      <c r="E1803">
        <f>WEEKNUM(Append321[[#This Row],[Date]])</f>
        <v>23</v>
      </c>
    </row>
    <row r="1804" spans="1:5">
      <c r="A1804" t="s">
        <v>111</v>
      </c>
      <c r="B1804" t="s">
        <v>95</v>
      </c>
      <c r="C1804" s="5">
        <v>45446</v>
      </c>
      <c r="D1804">
        <v>100</v>
      </c>
      <c r="E1804">
        <f>WEEKNUM(Append321[[#This Row],[Date]])</f>
        <v>23</v>
      </c>
    </row>
    <row r="1805" spans="1:5">
      <c r="A1805" t="s">
        <v>111</v>
      </c>
      <c r="B1805" t="s">
        <v>95</v>
      </c>
      <c r="C1805" s="5">
        <v>45447</v>
      </c>
      <c r="D1805">
        <v>93</v>
      </c>
      <c r="E1805">
        <f>WEEKNUM(Append321[[#This Row],[Date]])</f>
        <v>23</v>
      </c>
    </row>
    <row r="1806" spans="1:5">
      <c r="A1806" t="s">
        <v>111</v>
      </c>
      <c r="B1806" t="s">
        <v>95</v>
      </c>
      <c r="C1806" s="5">
        <v>45448</v>
      </c>
      <c r="D1806">
        <v>104</v>
      </c>
      <c r="E1806">
        <f>WEEKNUM(Append321[[#This Row],[Date]])</f>
        <v>23</v>
      </c>
    </row>
    <row r="1807" spans="1:5">
      <c r="A1807" t="s">
        <v>111</v>
      </c>
      <c r="B1807" t="s">
        <v>95</v>
      </c>
      <c r="C1807" s="5">
        <v>45449</v>
      </c>
      <c r="D1807">
        <v>111</v>
      </c>
      <c r="E1807">
        <f>WEEKNUM(Append321[[#This Row],[Date]])</f>
        <v>23</v>
      </c>
    </row>
    <row r="1808" spans="1:5">
      <c r="A1808" t="s">
        <v>111</v>
      </c>
      <c r="B1808" t="s">
        <v>95</v>
      </c>
      <c r="C1808" s="5">
        <v>45450</v>
      </c>
      <c r="D1808">
        <v>117</v>
      </c>
      <c r="E1808">
        <f>WEEKNUM(Append321[[#This Row],[Date]])</f>
        <v>23</v>
      </c>
    </row>
    <row r="1809" spans="1:5">
      <c r="A1809" t="s">
        <v>111</v>
      </c>
      <c r="B1809" t="s">
        <v>95</v>
      </c>
      <c r="C1809" s="5">
        <v>45451</v>
      </c>
      <c r="D1809">
        <v>105</v>
      </c>
      <c r="E1809">
        <f>WEEKNUM(Append321[[#This Row],[Date]])</f>
        <v>23</v>
      </c>
    </row>
    <row r="1810" spans="1:5">
      <c r="A1810" t="s">
        <v>111</v>
      </c>
      <c r="B1810" t="s">
        <v>95</v>
      </c>
      <c r="C1810" s="5">
        <v>45452</v>
      </c>
      <c r="D1810">
        <v>105</v>
      </c>
      <c r="E1810">
        <f>WEEKNUM(Append321[[#This Row],[Date]])</f>
        <v>24</v>
      </c>
    </row>
    <row r="1811" spans="1:5">
      <c r="A1811" t="s">
        <v>111</v>
      </c>
      <c r="B1811" t="s">
        <v>95</v>
      </c>
      <c r="C1811" s="5">
        <v>45453</v>
      </c>
      <c r="D1811">
        <v>102</v>
      </c>
      <c r="E1811">
        <f>WEEKNUM(Append321[[#This Row],[Date]])</f>
        <v>24</v>
      </c>
    </row>
    <row r="1812" spans="1:5">
      <c r="A1812" t="s">
        <v>111</v>
      </c>
      <c r="B1812" t="s">
        <v>95</v>
      </c>
      <c r="C1812" s="5">
        <v>45454</v>
      </c>
      <c r="D1812">
        <v>93</v>
      </c>
      <c r="E1812">
        <f>WEEKNUM(Append321[[#This Row],[Date]])</f>
        <v>24</v>
      </c>
    </row>
    <row r="1813" spans="1:5">
      <c r="A1813" t="s">
        <v>111</v>
      </c>
      <c r="B1813" t="s">
        <v>95</v>
      </c>
      <c r="C1813" s="5">
        <v>45455</v>
      </c>
      <c r="D1813">
        <v>93</v>
      </c>
      <c r="E1813">
        <f>WEEKNUM(Append321[[#This Row],[Date]])</f>
        <v>24</v>
      </c>
    </row>
    <row r="1814" spans="1:5">
      <c r="A1814" t="s">
        <v>111</v>
      </c>
      <c r="B1814" t="s">
        <v>95</v>
      </c>
      <c r="C1814" s="5">
        <v>45456</v>
      </c>
      <c r="D1814">
        <v>64</v>
      </c>
      <c r="E1814">
        <f>WEEKNUM(Append321[[#This Row],[Date]])</f>
        <v>24</v>
      </c>
    </row>
    <row r="1815" spans="1:5">
      <c r="A1815" t="s">
        <v>111</v>
      </c>
      <c r="B1815" t="s">
        <v>95</v>
      </c>
      <c r="C1815" s="5">
        <v>45457</v>
      </c>
      <c r="D1815">
        <v>99</v>
      </c>
      <c r="E1815">
        <f>WEEKNUM(Append321[[#This Row],[Date]])</f>
        <v>24</v>
      </c>
    </row>
    <row r="1816" spans="1:5">
      <c r="A1816" t="s">
        <v>111</v>
      </c>
      <c r="B1816" t="s">
        <v>95</v>
      </c>
      <c r="C1816" s="5">
        <v>45458</v>
      </c>
      <c r="D1816">
        <v>120</v>
      </c>
      <c r="E1816">
        <f>WEEKNUM(Append321[[#This Row],[Date]])</f>
        <v>24</v>
      </c>
    </row>
    <row r="1817" spans="1:5">
      <c r="A1817" t="s">
        <v>111</v>
      </c>
      <c r="B1817" t="s">
        <v>95</v>
      </c>
      <c r="C1817" s="5">
        <v>45459</v>
      </c>
      <c r="D1817">
        <v>78</v>
      </c>
      <c r="E1817">
        <f>WEEKNUM(Append321[[#This Row],[Date]])</f>
        <v>25</v>
      </c>
    </row>
    <row r="1818" spans="1:5">
      <c r="A1818" t="s">
        <v>111</v>
      </c>
      <c r="B1818" t="s">
        <v>95</v>
      </c>
      <c r="C1818" s="5">
        <v>45460</v>
      </c>
      <c r="D1818">
        <v>92</v>
      </c>
      <c r="E1818">
        <f>WEEKNUM(Append321[[#This Row],[Date]])</f>
        <v>25</v>
      </c>
    </row>
    <row r="1819" spans="1:5">
      <c r="A1819" t="s">
        <v>111</v>
      </c>
      <c r="B1819" t="s">
        <v>95</v>
      </c>
      <c r="C1819" s="5">
        <v>45461</v>
      </c>
      <c r="D1819">
        <v>108</v>
      </c>
      <c r="E1819">
        <f>WEEKNUM(Append321[[#This Row],[Date]])</f>
        <v>25</v>
      </c>
    </row>
    <row r="1820" spans="1:5">
      <c r="A1820" t="s">
        <v>111</v>
      </c>
      <c r="B1820" t="s">
        <v>95</v>
      </c>
      <c r="C1820" s="5">
        <v>45462</v>
      </c>
      <c r="D1820">
        <v>98</v>
      </c>
      <c r="E1820">
        <f>WEEKNUM(Append321[[#This Row],[Date]])</f>
        <v>25</v>
      </c>
    </row>
    <row r="1821" spans="1:5">
      <c r="A1821" t="s">
        <v>111</v>
      </c>
      <c r="B1821" t="s">
        <v>95</v>
      </c>
      <c r="C1821" s="5">
        <v>45463</v>
      </c>
      <c r="D1821">
        <v>96</v>
      </c>
      <c r="E1821">
        <f>WEEKNUM(Append321[[#This Row],[Date]])</f>
        <v>25</v>
      </c>
    </row>
    <row r="1822" spans="1:5">
      <c r="A1822" t="s">
        <v>111</v>
      </c>
      <c r="B1822" t="s">
        <v>95</v>
      </c>
      <c r="C1822" s="5">
        <v>45464</v>
      </c>
      <c r="D1822">
        <v>85</v>
      </c>
      <c r="E1822">
        <f>WEEKNUM(Append321[[#This Row],[Date]])</f>
        <v>25</v>
      </c>
    </row>
    <row r="1823" spans="1:5">
      <c r="A1823" t="s">
        <v>111</v>
      </c>
      <c r="B1823" t="s">
        <v>95</v>
      </c>
      <c r="C1823" s="5">
        <v>45465</v>
      </c>
      <c r="D1823">
        <v>86</v>
      </c>
      <c r="E1823">
        <f>WEEKNUM(Append321[[#This Row],[Date]])</f>
        <v>25</v>
      </c>
    </row>
    <row r="1824" spans="1:5">
      <c r="A1824" t="s">
        <v>111</v>
      </c>
      <c r="B1824" t="s">
        <v>95</v>
      </c>
      <c r="C1824" s="5">
        <v>45466</v>
      </c>
      <c r="D1824">
        <v>86</v>
      </c>
      <c r="E1824">
        <f>WEEKNUM(Append321[[#This Row],[Date]])</f>
        <v>26</v>
      </c>
    </row>
    <row r="1825" spans="1:5">
      <c r="A1825" t="s">
        <v>111</v>
      </c>
      <c r="B1825" t="s">
        <v>95</v>
      </c>
      <c r="C1825" s="5">
        <v>45467</v>
      </c>
      <c r="D1825">
        <v>107</v>
      </c>
      <c r="E1825">
        <f>WEEKNUM(Append321[[#This Row],[Date]])</f>
        <v>26</v>
      </c>
    </row>
    <row r="1826" spans="1:5">
      <c r="A1826" t="s">
        <v>111</v>
      </c>
      <c r="B1826" t="s">
        <v>95</v>
      </c>
      <c r="C1826" s="5">
        <v>45468</v>
      </c>
      <c r="D1826">
        <v>90</v>
      </c>
      <c r="E1826">
        <f>WEEKNUM(Append321[[#This Row],[Date]])</f>
        <v>26</v>
      </c>
    </row>
    <row r="1827" spans="1:5">
      <c r="A1827" t="s">
        <v>111</v>
      </c>
      <c r="B1827" t="s">
        <v>95</v>
      </c>
      <c r="C1827" s="5">
        <v>45469</v>
      </c>
      <c r="D1827">
        <v>100</v>
      </c>
      <c r="E1827">
        <f>WEEKNUM(Append321[[#This Row],[Date]])</f>
        <v>26</v>
      </c>
    </row>
    <row r="1828" spans="1:5">
      <c r="A1828" t="s">
        <v>111</v>
      </c>
      <c r="B1828" t="s">
        <v>95</v>
      </c>
      <c r="C1828" s="5">
        <v>45470</v>
      </c>
      <c r="D1828">
        <v>98</v>
      </c>
      <c r="E1828">
        <f>WEEKNUM(Append321[[#This Row],[Date]])</f>
        <v>26</v>
      </c>
    </row>
    <row r="1829" spans="1:5">
      <c r="A1829" t="s">
        <v>111</v>
      </c>
      <c r="B1829" t="s">
        <v>95</v>
      </c>
      <c r="C1829" s="5">
        <v>45471</v>
      </c>
      <c r="D1829">
        <v>90</v>
      </c>
      <c r="E1829">
        <f>WEEKNUM(Append321[[#This Row],[Date]])</f>
        <v>26</v>
      </c>
    </row>
    <row r="1830" spans="1:5">
      <c r="A1830" t="s">
        <v>111</v>
      </c>
      <c r="B1830" t="s">
        <v>95</v>
      </c>
      <c r="C1830" s="5">
        <v>45472</v>
      </c>
      <c r="D1830">
        <v>95</v>
      </c>
      <c r="E1830">
        <f>WEEKNUM(Append321[[#This Row],[Date]])</f>
        <v>26</v>
      </c>
    </row>
    <row r="1831" spans="1:5">
      <c r="A1831" t="s">
        <v>111</v>
      </c>
      <c r="B1831" t="s">
        <v>95</v>
      </c>
      <c r="C1831" s="5">
        <v>45473</v>
      </c>
      <c r="D1831">
        <v>62</v>
      </c>
      <c r="E1831">
        <f>WEEKNUM(Append321[[#This Row],[Date]])</f>
        <v>27</v>
      </c>
    </row>
    <row r="1832" spans="1:5">
      <c r="A1832" t="s">
        <v>111</v>
      </c>
      <c r="B1832" t="s">
        <v>95</v>
      </c>
      <c r="C1832" s="5">
        <v>45474</v>
      </c>
      <c r="D1832">
        <v>79</v>
      </c>
      <c r="E1832">
        <f>WEEKNUM(Append321[[#This Row],[Date]])</f>
        <v>27</v>
      </c>
    </row>
    <row r="1833" spans="1:5">
      <c r="A1833" t="s">
        <v>111</v>
      </c>
      <c r="B1833" t="s">
        <v>95</v>
      </c>
      <c r="C1833" s="5">
        <v>45475</v>
      </c>
      <c r="D1833">
        <v>109</v>
      </c>
      <c r="E1833">
        <f>WEEKNUM(Append321[[#This Row],[Date]])</f>
        <v>27</v>
      </c>
    </row>
    <row r="1834" spans="1:5">
      <c r="A1834" t="s">
        <v>111</v>
      </c>
      <c r="B1834" t="s">
        <v>95</v>
      </c>
      <c r="C1834" s="5">
        <v>45476</v>
      </c>
      <c r="D1834">
        <v>78</v>
      </c>
      <c r="E1834">
        <f>WEEKNUM(Append321[[#This Row],[Date]])</f>
        <v>27</v>
      </c>
    </row>
    <row r="1835" spans="1:5">
      <c r="A1835" t="s">
        <v>111</v>
      </c>
      <c r="B1835" t="s">
        <v>95</v>
      </c>
      <c r="C1835" s="5">
        <v>45477</v>
      </c>
      <c r="D1835">
        <v>102</v>
      </c>
      <c r="E1835">
        <f>WEEKNUM(Append321[[#This Row],[Date]])</f>
        <v>27</v>
      </c>
    </row>
    <row r="1836" spans="1:5">
      <c r="A1836" t="s">
        <v>111</v>
      </c>
      <c r="B1836" t="s">
        <v>95</v>
      </c>
      <c r="C1836" s="5">
        <v>45478</v>
      </c>
      <c r="D1836">
        <v>108</v>
      </c>
      <c r="E1836">
        <f>WEEKNUM(Append321[[#This Row],[Date]])</f>
        <v>27</v>
      </c>
    </row>
    <row r="1837" spans="1:5">
      <c r="A1837" t="s">
        <v>111</v>
      </c>
      <c r="B1837" t="s">
        <v>95</v>
      </c>
      <c r="C1837" s="5">
        <v>45479</v>
      </c>
      <c r="D1837">
        <v>102</v>
      </c>
      <c r="E1837">
        <f>WEEKNUM(Append321[[#This Row],[Date]])</f>
        <v>27</v>
      </c>
    </row>
    <row r="1838" spans="1:5">
      <c r="A1838" t="s">
        <v>111</v>
      </c>
      <c r="B1838" t="s">
        <v>95</v>
      </c>
      <c r="C1838" s="5">
        <v>45480</v>
      </c>
      <c r="D1838">
        <v>104</v>
      </c>
      <c r="E1838">
        <f>WEEKNUM(Append321[[#This Row],[Date]])</f>
        <v>28</v>
      </c>
    </row>
    <row r="1839" spans="1:5">
      <c r="A1839" t="s">
        <v>111</v>
      </c>
      <c r="B1839" t="s">
        <v>95</v>
      </c>
      <c r="C1839" s="5">
        <v>45481</v>
      </c>
      <c r="D1839">
        <v>107</v>
      </c>
      <c r="E1839">
        <f>WEEKNUM(Append321[[#This Row],[Date]])</f>
        <v>28</v>
      </c>
    </row>
    <row r="1840" spans="1:5">
      <c r="A1840" t="s">
        <v>111</v>
      </c>
      <c r="B1840" t="s">
        <v>95</v>
      </c>
      <c r="C1840" s="5">
        <v>45482</v>
      </c>
      <c r="D1840">
        <v>69</v>
      </c>
      <c r="E1840">
        <f>WEEKNUM(Append321[[#This Row],[Date]])</f>
        <v>28</v>
      </c>
    </row>
    <row r="1841" spans="1:5">
      <c r="A1841" t="s">
        <v>111</v>
      </c>
      <c r="B1841" t="s">
        <v>95</v>
      </c>
      <c r="C1841" s="5">
        <v>45483</v>
      </c>
      <c r="D1841">
        <v>101</v>
      </c>
      <c r="E1841">
        <f>WEEKNUM(Append321[[#This Row],[Date]])</f>
        <v>28</v>
      </c>
    </row>
    <row r="1842" spans="1:5">
      <c r="A1842" t="s">
        <v>111</v>
      </c>
      <c r="B1842" t="s">
        <v>95</v>
      </c>
      <c r="C1842" s="5">
        <v>45484</v>
      </c>
      <c r="D1842">
        <v>71</v>
      </c>
      <c r="E1842">
        <f>WEEKNUM(Append321[[#This Row],[Date]])</f>
        <v>28</v>
      </c>
    </row>
    <row r="1843" spans="1:5">
      <c r="A1843" t="s">
        <v>111</v>
      </c>
      <c r="B1843" t="s">
        <v>95</v>
      </c>
      <c r="C1843" s="5">
        <v>45485</v>
      </c>
      <c r="D1843">
        <v>92</v>
      </c>
      <c r="E1843">
        <f>WEEKNUM(Append321[[#This Row],[Date]])</f>
        <v>28</v>
      </c>
    </row>
    <row r="1844" spans="1:5">
      <c r="A1844" t="s">
        <v>111</v>
      </c>
      <c r="B1844" t="s">
        <v>95</v>
      </c>
      <c r="C1844" s="5">
        <v>45486</v>
      </c>
      <c r="D1844">
        <v>103</v>
      </c>
      <c r="E1844">
        <f>WEEKNUM(Append321[[#This Row],[Date]])</f>
        <v>28</v>
      </c>
    </row>
    <row r="1845" spans="1:5">
      <c r="A1845" t="s">
        <v>111</v>
      </c>
      <c r="B1845" t="s">
        <v>95</v>
      </c>
      <c r="C1845" s="5">
        <v>45487</v>
      </c>
      <c r="D1845">
        <v>102</v>
      </c>
      <c r="E1845">
        <f>WEEKNUM(Append321[[#This Row],[Date]])</f>
        <v>29</v>
      </c>
    </row>
    <row r="1846" spans="1:5">
      <c r="A1846" t="s">
        <v>111</v>
      </c>
      <c r="B1846" t="s">
        <v>95</v>
      </c>
      <c r="C1846" s="5">
        <v>45488</v>
      </c>
      <c r="D1846">
        <v>123</v>
      </c>
      <c r="E1846">
        <f>WEEKNUM(Append321[[#This Row],[Date]])</f>
        <v>29</v>
      </c>
    </row>
    <row r="1847" spans="1:5">
      <c r="A1847" t="s">
        <v>111</v>
      </c>
      <c r="B1847" t="s">
        <v>95</v>
      </c>
      <c r="C1847" s="5">
        <v>45489</v>
      </c>
      <c r="D1847">
        <v>88</v>
      </c>
      <c r="E1847">
        <f>WEEKNUM(Append321[[#This Row],[Date]])</f>
        <v>29</v>
      </c>
    </row>
    <row r="1848" spans="1:5">
      <c r="A1848" t="s">
        <v>111</v>
      </c>
      <c r="B1848" t="s">
        <v>95</v>
      </c>
      <c r="C1848" s="5">
        <v>45490</v>
      </c>
      <c r="D1848">
        <v>99</v>
      </c>
      <c r="E1848">
        <f>WEEKNUM(Append321[[#This Row],[Date]])</f>
        <v>29</v>
      </c>
    </row>
    <row r="1849" spans="1:5">
      <c r="A1849" t="s">
        <v>111</v>
      </c>
      <c r="B1849" t="s">
        <v>95</v>
      </c>
      <c r="C1849" s="5">
        <v>45491</v>
      </c>
      <c r="D1849">
        <v>90</v>
      </c>
      <c r="E1849">
        <f>WEEKNUM(Append321[[#This Row],[Date]])</f>
        <v>29</v>
      </c>
    </row>
    <row r="1850" spans="1:5">
      <c r="A1850" t="s">
        <v>111</v>
      </c>
      <c r="B1850" t="s">
        <v>95</v>
      </c>
      <c r="C1850" s="5">
        <v>45492</v>
      </c>
      <c r="D1850">
        <v>89</v>
      </c>
      <c r="E1850">
        <f>WEEKNUM(Append321[[#This Row],[Date]])</f>
        <v>29</v>
      </c>
    </row>
    <row r="1851" spans="1:5">
      <c r="A1851" t="s">
        <v>111</v>
      </c>
      <c r="B1851" t="s">
        <v>95</v>
      </c>
      <c r="C1851" s="5">
        <v>45493</v>
      </c>
      <c r="D1851">
        <v>105</v>
      </c>
      <c r="E1851">
        <f>WEEKNUM(Append321[[#This Row],[Date]])</f>
        <v>29</v>
      </c>
    </row>
    <row r="1852" spans="1:5">
      <c r="A1852" t="s">
        <v>111</v>
      </c>
      <c r="B1852" t="s">
        <v>95</v>
      </c>
      <c r="C1852" s="5">
        <v>45494</v>
      </c>
      <c r="D1852">
        <v>104</v>
      </c>
      <c r="E1852">
        <f>WEEKNUM(Append321[[#This Row],[Date]])</f>
        <v>30</v>
      </c>
    </row>
    <row r="1853" spans="1:5">
      <c r="A1853" t="s">
        <v>111</v>
      </c>
      <c r="B1853" t="s">
        <v>95</v>
      </c>
      <c r="C1853" s="5">
        <v>45495</v>
      </c>
      <c r="D1853">
        <v>72</v>
      </c>
      <c r="E1853">
        <f>WEEKNUM(Append321[[#This Row],[Date]])</f>
        <v>30</v>
      </c>
    </row>
    <row r="1854" spans="1:5">
      <c r="A1854" t="s">
        <v>111</v>
      </c>
      <c r="B1854" t="s">
        <v>95</v>
      </c>
      <c r="C1854" s="5">
        <v>45496</v>
      </c>
      <c r="D1854">
        <v>111</v>
      </c>
      <c r="E1854">
        <f>WEEKNUM(Append321[[#This Row],[Date]])</f>
        <v>30</v>
      </c>
    </row>
    <row r="1855" spans="1:5">
      <c r="A1855" t="s">
        <v>111</v>
      </c>
      <c r="B1855" t="s">
        <v>95</v>
      </c>
      <c r="C1855" s="5">
        <v>45497</v>
      </c>
      <c r="D1855">
        <v>101</v>
      </c>
      <c r="E1855">
        <f>WEEKNUM(Append321[[#This Row],[Date]])</f>
        <v>30</v>
      </c>
    </row>
    <row r="1856" spans="1:5">
      <c r="A1856" t="s">
        <v>111</v>
      </c>
      <c r="B1856" t="s">
        <v>95</v>
      </c>
      <c r="C1856" s="5">
        <v>45498</v>
      </c>
      <c r="D1856">
        <v>85</v>
      </c>
      <c r="E1856">
        <f>WEEKNUM(Append321[[#This Row],[Date]])</f>
        <v>30</v>
      </c>
    </row>
    <row r="1857" spans="1:5">
      <c r="A1857" t="s">
        <v>111</v>
      </c>
      <c r="B1857" t="s">
        <v>95</v>
      </c>
      <c r="C1857" s="5">
        <v>45499</v>
      </c>
      <c r="D1857">
        <v>86</v>
      </c>
      <c r="E1857">
        <f>WEEKNUM(Append321[[#This Row],[Date]])</f>
        <v>30</v>
      </c>
    </row>
    <row r="1858" spans="1:5">
      <c r="A1858" t="s">
        <v>111</v>
      </c>
      <c r="B1858" t="s">
        <v>95</v>
      </c>
      <c r="C1858" s="5">
        <v>45500</v>
      </c>
      <c r="D1858">
        <v>102</v>
      </c>
      <c r="E1858">
        <f>WEEKNUM(Append321[[#This Row],[Date]])</f>
        <v>30</v>
      </c>
    </row>
    <row r="1859" spans="1:5">
      <c r="A1859" t="s">
        <v>111</v>
      </c>
      <c r="B1859" t="s">
        <v>95</v>
      </c>
      <c r="C1859" s="5">
        <v>45501</v>
      </c>
      <c r="D1859">
        <v>92</v>
      </c>
      <c r="E1859">
        <f>WEEKNUM(Append321[[#This Row],[Date]])</f>
        <v>31</v>
      </c>
    </row>
    <row r="1860" spans="1:5">
      <c r="A1860" t="s">
        <v>111</v>
      </c>
      <c r="B1860" t="s">
        <v>95</v>
      </c>
      <c r="C1860" s="5">
        <v>45502</v>
      </c>
      <c r="D1860">
        <v>79</v>
      </c>
      <c r="E1860">
        <f>WEEKNUM(Append321[[#This Row],[Date]])</f>
        <v>31</v>
      </c>
    </row>
    <row r="1861" spans="1:5">
      <c r="A1861" t="s">
        <v>111</v>
      </c>
      <c r="B1861" t="s">
        <v>95</v>
      </c>
      <c r="C1861" s="5">
        <v>45503</v>
      </c>
      <c r="D1861">
        <v>78</v>
      </c>
      <c r="E1861">
        <f>WEEKNUM(Append321[[#This Row],[Date]])</f>
        <v>31</v>
      </c>
    </row>
    <row r="1862" spans="1:5">
      <c r="A1862" t="s">
        <v>111</v>
      </c>
      <c r="B1862" t="s">
        <v>95</v>
      </c>
      <c r="C1862" s="5">
        <v>45504</v>
      </c>
      <c r="D1862">
        <v>100</v>
      </c>
      <c r="E1862">
        <f>WEEKNUM(Append321[[#This Row],[Date]])</f>
        <v>31</v>
      </c>
    </row>
    <row r="1863" spans="1:5">
      <c r="A1863" t="s">
        <v>111</v>
      </c>
      <c r="B1863" t="s">
        <v>95</v>
      </c>
      <c r="C1863" s="5">
        <v>45505</v>
      </c>
      <c r="D1863">
        <v>106</v>
      </c>
      <c r="E1863">
        <f>WEEKNUM(Append321[[#This Row],[Date]])</f>
        <v>31</v>
      </c>
    </row>
    <row r="1864" spans="1:5">
      <c r="A1864" t="s">
        <v>111</v>
      </c>
      <c r="B1864" t="s">
        <v>95</v>
      </c>
      <c r="C1864" s="5">
        <v>45506</v>
      </c>
      <c r="D1864">
        <v>98</v>
      </c>
      <c r="E1864">
        <f>WEEKNUM(Append321[[#This Row],[Date]])</f>
        <v>31</v>
      </c>
    </row>
    <row r="1865" spans="1:5">
      <c r="A1865" t="s">
        <v>111</v>
      </c>
      <c r="B1865" t="s">
        <v>95</v>
      </c>
      <c r="C1865" s="5">
        <v>45507</v>
      </c>
      <c r="D1865">
        <v>121</v>
      </c>
      <c r="E1865">
        <f>WEEKNUM(Append321[[#This Row],[Date]])</f>
        <v>31</v>
      </c>
    </row>
    <row r="1866" spans="1:5">
      <c r="A1866" t="s">
        <v>111</v>
      </c>
      <c r="B1866" t="s">
        <v>95</v>
      </c>
      <c r="C1866" s="5">
        <v>45508</v>
      </c>
      <c r="D1866">
        <v>81</v>
      </c>
      <c r="E1866">
        <f>WEEKNUM(Append321[[#This Row],[Date]])</f>
        <v>32</v>
      </c>
    </row>
    <row r="1867" spans="1:5">
      <c r="A1867" t="s">
        <v>111</v>
      </c>
      <c r="B1867" t="s">
        <v>95</v>
      </c>
      <c r="C1867" s="5">
        <v>45509</v>
      </c>
      <c r="D1867">
        <v>122</v>
      </c>
      <c r="E1867">
        <f>WEEKNUM(Append321[[#This Row],[Date]])</f>
        <v>32</v>
      </c>
    </row>
    <row r="1868" spans="1:5">
      <c r="A1868" t="s">
        <v>111</v>
      </c>
      <c r="B1868" t="s">
        <v>95</v>
      </c>
      <c r="C1868" s="5">
        <v>45510</v>
      </c>
      <c r="D1868">
        <v>110</v>
      </c>
      <c r="E1868">
        <f>WEEKNUM(Append321[[#This Row],[Date]])</f>
        <v>32</v>
      </c>
    </row>
    <row r="1869" spans="1:5">
      <c r="A1869" t="s">
        <v>111</v>
      </c>
      <c r="B1869" t="s">
        <v>95</v>
      </c>
      <c r="C1869" s="5">
        <v>45511</v>
      </c>
      <c r="D1869">
        <v>105</v>
      </c>
      <c r="E1869">
        <f>WEEKNUM(Append321[[#This Row],[Date]])</f>
        <v>32</v>
      </c>
    </row>
    <row r="1870" spans="1:5">
      <c r="A1870" t="s">
        <v>111</v>
      </c>
      <c r="B1870" t="s">
        <v>95</v>
      </c>
      <c r="C1870" s="5">
        <v>45512</v>
      </c>
      <c r="D1870">
        <v>88</v>
      </c>
      <c r="E1870">
        <f>WEEKNUM(Append321[[#This Row],[Date]])</f>
        <v>32</v>
      </c>
    </row>
    <row r="1871" spans="1:5">
      <c r="A1871" t="s">
        <v>111</v>
      </c>
      <c r="B1871" t="s">
        <v>95</v>
      </c>
      <c r="C1871" s="5">
        <v>45513</v>
      </c>
      <c r="D1871">
        <v>87</v>
      </c>
      <c r="E1871">
        <f>WEEKNUM(Append321[[#This Row],[Date]])</f>
        <v>32</v>
      </c>
    </row>
    <row r="1872" spans="1:5">
      <c r="A1872" t="s">
        <v>111</v>
      </c>
      <c r="B1872" t="s">
        <v>95</v>
      </c>
      <c r="C1872" s="5">
        <v>45514</v>
      </c>
      <c r="D1872">
        <v>91</v>
      </c>
      <c r="E1872">
        <f>WEEKNUM(Append321[[#This Row],[Date]])</f>
        <v>32</v>
      </c>
    </row>
    <row r="1873" spans="1:5">
      <c r="A1873" t="s">
        <v>111</v>
      </c>
      <c r="B1873" t="s">
        <v>95</v>
      </c>
      <c r="C1873" s="5">
        <v>45515</v>
      </c>
      <c r="D1873">
        <v>83</v>
      </c>
      <c r="E1873">
        <f>WEEKNUM(Append321[[#This Row],[Date]])</f>
        <v>33</v>
      </c>
    </row>
    <row r="1874" spans="1:5">
      <c r="A1874" t="s">
        <v>111</v>
      </c>
      <c r="B1874" t="s">
        <v>95</v>
      </c>
      <c r="C1874" s="5">
        <v>45516</v>
      </c>
      <c r="D1874">
        <v>93</v>
      </c>
      <c r="E1874">
        <f>WEEKNUM(Append321[[#This Row],[Date]])</f>
        <v>33</v>
      </c>
    </row>
    <row r="1875" spans="1:5">
      <c r="A1875" t="s">
        <v>111</v>
      </c>
      <c r="B1875" t="s">
        <v>95</v>
      </c>
      <c r="C1875" s="5">
        <v>45517</v>
      </c>
      <c r="D1875">
        <v>86</v>
      </c>
      <c r="E1875">
        <f>WEEKNUM(Append321[[#This Row],[Date]])</f>
        <v>33</v>
      </c>
    </row>
    <row r="1876" spans="1:5">
      <c r="A1876" t="s">
        <v>111</v>
      </c>
      <c r="B1876" t="s">
        <v>95</v>
      </c>
      <c r="C1876" s="5">
        <v>45518</v>
      </c>
      <c r="D1876">
        <v>82</v>
      </c>
      <c r="E1876">
        <f>WEEKNUM(Append321[[#This Row],[Date]])</f>
        <v>33</v>
      </c>
    </row>
    <row r="1877" spans="1:5">
      <c r="A1877" t="s">
        <v>111</v>
      </c>
      <c r="B1877" t="s">
        <v>95</v>
      </c>
      <c r="C1877" s="5">
        <v>45519</v>
      </c>
      <c r="D1877">
        <v>59</v>
      </c>
      <c r="E1877">
        <f>WEEKNUM(Append321[[#This Row],[Date]])</f>
        <v>33</v>
      </c>
    </row>
    <row r="1878" spans="1:5">
      <c r="A1878" t="s">
        <v>111</v>
      </c>
      <c r="B1878" t="s">
        <v>95</v>
      </c>
      <c r="C1878" s="5">
        <v>45520</v>
      </c>
      <c r="D1878">
        <v>65</v>
      </c>
      <c r="E1878">
        <f>WEEKNUM(Append321[[#This Row],[Date]])</f>
        <v>33</v>
      </c>
    </row>
    <row r="1879" spans="1:5">
      <c r="A1879" t="s">
        <v>111</v>
      </c>
      <c r="B1879" t="s">
        <v>95</v>
      </c>
      <c r="C1879" s="5">
        <v>45521</v>
      </c>
      <c r="D1879">
        <v>88</v>
      </c>
      <c r="E1879">
        <f>WEEKNUM(Append321[[#This Row],[Date]])</f>
        <v>33</v>
      </c>
    </row>
    <row r="1880" spans="1:5">
      <c r="A1880" t="s">
        <v>111</v>
      </c>
      <c r="B1880" t="s">
        <v>95</v>
      </c>
      <c r="C1880" s="5">
        <v>45522</v>
      </c>
      <c r="D1880">
        <v>78</v>
      </c>
      <c r="E1880">
        <f>WEEKNUM(Append321[[#This Row],[Date]])</f>
        <v>34</v>
      </c>
    </row>
    <row r="1881" spans="1:5">
      <c r="A1881" t="s">
        <v>111</v>
      </c>
      <c r="B1881" t="s">
        <v>95</v>
      </c>
      <c r="C1881" s="5">
        <v>45523</v>
      </c>
      <c r="D1881">
        <v>106</v>
      </c>
      <c r="E1881">
        <f>WEEKNUM(Append321[[#This Row],[Date]])</f>
        <v>34</v>
      </c>
    </row>
    <row r="1882" spans="1:5">
      <c r="A1882" t="s">
        <v>111</v>
      </c>
      <c r="B1882" t="s">
        <v>95</v>
      </c>
      <c r="C1882" s="5">
        <v>45524</v>
      </c>
      <c r="D1882">
        <v>77</v>
      </c>
      <c r="E1882">
        <f>WEEKNUM(Append321[[#This Row],[Date]])</f>
        <v>34</v>
      </c>
    </row>
    <row r="1883" spans="1:5">
      <c r="A1883" t="s">
        <v>111</v>
      </c>
      <c r="B1883" t="s">
        <v>95</v>
      </c>
      <c r="C1883" s="5">
        <v>45525</v>
      </c>
      <c r="D1883">
        <v>98</v>
      </c>
      <c r="E1883">
        <f>WEEKNUM(Append321[[#This Row],[Date]])</f>
        <v>34</v>
      </c>
    </row>
    <row r="1884" spans="1:5">
      <c r="A1884" t="s">
        <v>111</v>
      </c>
      <c r="B1884" t="s">
        <v>95</v>
      </c>
      <c r="C1884" s="5">
        <v>45526</v>
      </c>
      <c r="D1884">
        <v>90</v>
      </c>
      <c r="E1884">
        <f>WEEKNUM(Append321[[#This Row],[Date]])</f>
        <v>34</v>
      </c>
    </row>
    <row r="1885" spans="1:5">
      <c r="A1885" t="s">
        <v>111</v>
      </c>
      <c r="B1885" t="s">
        <v>95</v>
      </c>
      <c r="C1885" s="5">
        <v>45527</v>
      </c>
      <c r="D1885">
        <v>79</v>
      </c>
      <c r="E1885">
        <f>WEEKNUM(Append321[[#This Row],[Date]])</f>
        <v>34</v>
      </c>
    </row>
    <row r="1886" spans="1:5">
      <c r="A1886" t="s">
        <v>111</v>
      </c>
      <c r="B1886" t="s">
        <v>95</v>
      </c>
      <c r="C1886" s="5">
        <v>45528</v>
      </c>
      <c r="D1886">
        <v>93</v>
      </c>
      <c r="E1886">
        <f>WEEKNUM(Append321[[#This Row],[Date]])</f>
        <v>34</v>
      </c>
    </row>
    <row r="1887" spans="1:5">
      <c r="A1887" t="s">
        <v>111</v>
      </c>
      <c r="B1887" t="s">
        <v>95</v>
      </c>
      <c r="C1887" s="5">
        <v>45529</v>
      </c>
      <c r="D1887">
        <v>89</v>
      </c>
      <c r="E1887">
        <f>WEEKNUM(Append321[[#This Row],[Date]])</f>
        <v>35</v>
      </c>
    </row>
    <row r="1888" spans="1:5">
      <c r="A1888" t="s">
        <v>111</v>
      </c>
      <c r="B1888" t="s">
        <v>95</v>
      </c>
      <c r="C1888" s="5">
        <v>45530</v>
      </c>
      <c r="D1888">
        <v>103</v>
      </c>
      <c r="E1888">
        <f>WEEKNUM(Append321[[#This Row],[Date]])</f>
        <v>35</v>
      </c>
    </row>
    <row r="1889" spans="1:5">
      <c r="A1889" t="s">
        <v>111</v>
      </c>
      <c r="B1889" t="s">
        <v>95</v>
      </c>
      <c r="C1889" s="5">
        <v>45531</v>
      </c>
      <c r="D1889">
        <v>82</v>
      </c>
      <c r="E1889">
        <f>WEEKNUM(Append321[[#This Row],[Date]])</f>
        <v>35</v>
      </c>
    </row>
    <row r="1890" spans="1:5">
      <c r="A1890" t="s">
        <v>111</v>
      </c>
      <c r="B1890" t="s">
        <v>95</v>
      </c>
      <c r="C1890" s="5">
        <v>45532</v>
      </c>
      <c r="D1890">
        <v>114</v>
      </c>
      <c r="E1890">
        <f>WEEKNUM(Append321[[#This Row],[Date]])</f>
        <v>35</v>
      </c>
    </row>
    <row r="1891" spans="1:5">
      <c r="A1891" t="s">
        <v>111</v>
      </c>
      <c r="B1891" t="s">
        <v>95</v>
      </c>
      <c r="C1891" s="5">
        <v>45533</v>
      </c>
      <c r="D1891">
        <v>97</v>
      </c>
      <c r="E1891">
        <f>WEEKNUM(Append321[[#This Row],[Date]])</f>
        <v>35</v>
      </c>
    </row>
    <row r="1892" spans="1:5">
      <c r="A1892" t="s">
        <v>111</v>
      </c>
      <c r="B1892" t="s">
        <v>95</v>
      </c>
      <c r="C1892" s="5">
        <v>45534</v>
      </c>
      <c r="D1892">
        <v>98</v>
      </c>
      <c r="E1892">
        <f>WEEKNUM(Append321[[#This Row],[Date]])</f>
        <v>35</v>
      </c>
    </row>
    <row r="1893" spans="1:5">
      <c r="A1893" t="s">
        <v>111</v>
      </c>
      <c r="B1893" t="s">
        <v>95</v>
      </c>
      <c r="C1893" s="5">
        <v>45535</v>
      </c>
      <c r="D1893">
        <v>109</v>
      </c>
      <c r="E1893">
        <f>WEEKNUM(Append321[[#This Row],[Date]])</f>
        <v>35</v>
      </c>
    </row>
    <row r="1894" spans="1:5">
      <c r="A1894" t="s">
        <v>111</v>
      </c>
      <c r="B1894" t="s">
        <v>96</v>
      </c>
      <c r="C1894" s="5">
        <v>45444</v>
      </c>
      <c r="D1894">
        <v>156</v>
      </c>
      <c r="E1894">
        <f>WEEKNUM(Append321[[#This Row],[Date]])</f>
        <v>22</v>
      </c>
    </row>
    <row r="1895" spans="1:5">
      <c r="A1895" t="s">
        <v>111</v>
      </c>
      <c r="B1895" t="s">
        <v>96</v>
      </c>
      <c r="C1895" s="5">
        <v>45445</v>
      </c>
      <c r="D1895">
        <v>130</v>
      </c>
      <c r="E1895">
        <f>WEEKNUM(Append321[[#This Row],[Date]])</f>
        <v>23</v>
      </c>
    </row>
    <row r="1896" spans="1:5">
      <c r="A1896" t="s">
        <v>111</v>
      </c>
      <c r="B1896" t="s">
        <v>96</v>
      </c>
      <c r="C1896" s="5">
        <v>45446</v>
      </c>
      <c r="D1896">
        <v>165</v>
      </c>
      <c r="E1896">
        <f>WEEKNUM(Append321[[#This Row],[Date]])</f>
        <v>23</v>
      </c>
    </row>
    <row r="1897" spans="1:5">
      <c r="A1897" t="s">
        <v>111</v>
      </c>
      <c r="B1897" t="s">
        <v>96</v>
      </c>
      <c r="C1897" s="5">
        <v>45447</v>
      </c>
      <c r="D1897">
        <v>153</v>
      </c>
      <c r="E1897">
        <f>WEEKNUM(Append321[[#This Row],[Date]])</f>
        <v>23</v>
      </c>
    </row>
    <row r="1898" spans="1:5">
      <c r="A1898" t="s">
        <v>111</v>
      </c>
      <c r="B1898" t="s">
        <v>96</v>
      </c>
      <c r="C1898" s="5">
        <v>45448</v>
      </c>
      <c r="D1898">
        <v>164</v>
      </c>
      <c r="E1898">
        <f>WEEKNUM(Append321[[#This Row],[Date]])</f>
        <v>23</v>
      </c>
    </row>
    <row r="1899" spans="1:5">
      <c r="A1899" t="s">
        <v>111</v>
      </c>
      <c r="B1899" t="s">
        <v>96</v>
      </c>
      <c r="C1899" s="5">
        <v>45449</v>
      </c>
      <c r="D1899">
        <v>166</v>
      </c>
      <c r="E1899">
        <f>WEEKNUM(Append321[[#This Row],[Date]])</f>
        <v>23</v>
      </c>
    </row>
    <row r="1900" spans="1:5">
      <c r="A1900" t="s">
        <v>111</v>
      </c>
      <c r="B1900" t="s">
        <v>96</v>
      </c>
      <c r="C1900" s="5">
        <v>45450</v>
      </c>
      <c r="D1900">
        <v>154</v>
      </c>
      <c r="E1900">
        <f>WEEKNUM(Append321[[#This Row],[Date]])</f>
        <v>23</v>
      </c>
    </row>
    <row r="1901" spans="1:5">
      <c r="A1901" t="s">
        <v>111</v>
      </c>
      <c r="B1901" t="s">
        <v>96</v>
      </c>
      <c r="C1901" s="5">
        <v>45451</v>
      </c>
      <c r="D1901">
        <v>162</v>
      </c>
      <c r="E1901">
        <f>WEEKNUM(Append321[[#This Row],[Date]])</f>
        <v>23</v>
      </c>
    </row>
    <row r="1902" spans="1:5">
      <c r="A1902" t="s">
        <v>111</v>
      </c>
      <c r="B1902" t="s">
        <v>96</v>
      </c>
      <c r="C1902" s="5">
        <v>45452</v>
      </c>
      <c r="D1902">
        <v>148</v>
      </c>
      <c r="E1902">
        <f>WEEKNUM(Append321[[#This Row],[Date]])</f>
        <v>24</v>
      </c>
    </row>
    <row r="1903" spans="1:5">
      <c r="A1903" t="s">
        <v>111</v>
      </c>
      <c r="B1903" t="s">
        <v>96</v>
      </c>
      <c r="C1903" s="5">
        <v>45453</v>
      </c>
      <c r="D1903">
        <v>144</v>
      </c>
      <c r="E1903">
        <f>WEEKNUM(Append321[[#This Row],[Date]])</f>
        <v>24</v>
      </c>
    </row>
    <row r="1904" spans="1:5">
      <c r="A1904" t="s">
        <v>111</v>
      </c>
      <c r="B1904" t="s">
        <v>96</v>
      </c>
      <c r="C1904" s="5">
        <v>45454</v>
      </c>
      <c r="D1904">
        <v>152</v>
      </c>
      <c r="E1904">
        <f>WEEKNUM(Append321[[#This Row],[Date]])</f>
        <v>24</v>
      </c>
    </row>
    <row r="1905" spans="1:5">
      <c r="A1905" t="s">
        <v>111</v>
      </c>
      <c r="B1905" t="s">
        <v>96</v>
      </c>
      <c r="C1905" s="5">
        <v>45455</v>
      </c>
      <c r="D1905">
        <v>159</v>
      </c>
      <c r="E1905">
        <f>WEEKNUM(Append321[[#This Row],[Date]])</f>
        <v>24</v>
      </c>
    </row>
    <row r="1906" spans="1:5">
      <c r="A1906" t="s">
        <v>111</v>
      </c>
      <c r="B1906" t="s">
        <v>96</v>
      </c>
      <c r="C1906" s="5">
        <v>45456</v>
      </c>
      <c r="D1906">
        <v>169</v>
      </c>
      <c r="E1906">
        <f>WEEKNUM(Append321[[#This Row],[Date]])</f>
        <v>24</v>
      </c>
    </row>
    <row r="1907" spans="1:5">
      <c r="A1907" t="s">
        <v>111</v>
      </c>
      <c r="B1907" t="s">
        <v>96</v>
      </c>
      <c r="C1907" s="5">
        <v>45457</v>
      </c>
      <c r="D1907">
        <v>164</v>
      </c>
      <c r="E1907">
        <f>WEEKNUM(Append321[[#This Row],[Date]])</f>
        <v>24</v>
      </c>
    </row>
    <row r="1908" spans="1:5">
      <c r="A1908" t="s">
        <v>111</v>
      </c>
      <c r="B1908" t="s">
        <v>96</v>
      </c>
      <c r="C1908" s="5">
        <v>45458</v>
      </c>
      <c r="D1908">
        <v>175</v>
      </c>
      <c r="E1908">
        <f>WEEKNUM(Append321[[#This Row],[Date]])</f>
        <v>24</v>
      </c>
    </row>
    <row r="1909" spans="1:5">
      <c r="A1909" t="s">
        <v>111</v>
      </c>
      <c r="B1909" t="s">
        <v>96</v>
      </c>
      <c r="C1909" s="5">
        <v>45459</v>
      </c>
      <c r="D1909">
        <v>144</v>
      </c>
      <c r="E1909">
        <f>WEEKNUM(Append321[[#This Row],[Date]])</f>
        <v>25</v>
      </c>
    </row>
    <row r="1910" spans="1:5">
      <c r="A1910" t="s">
        <v>111</v>
      </c>
      <c r="B1910" t="s">
        <v>96</v>
      </c>
      <c r="C1910" s="5">
        <v>45460</v>
      </c>
      <c r="D1910">
        <v>160</v>
      </c>
      <c r="E1910">
        <f>WEEKNUM(Append321[[#This Row],[Date]])</f>
        <v>25</v>
      </c>
    </row>
    <row r="1911" spans="1:5">
      <c r="A1911" t="s">
        <v>111</v>
      </c>
      <c r="B1911" t="s">
        <v>96</v>
      </c>
      <c r="C1911" s="5">
        <v>45461</v>
      </c>
      <c r="D1911">
        <v>184</v>
      </c>
      <c r="E1911">
        <f>WEEKNUM(Append321[[#This Row],[Date]])</f>
        <v>25</v>
      </c>
    </row>
    <row r="1912" spans="1:5">
      <c r="A1912" t="s">
        <v>111</v>
      </c>
      <c r="B1912" t="s">
        <v>96</v>
      </c>
      <c r="C1912" s="5">
        <v>45462</v>
      </c>
      <c r="D1912">
        <v>183</v>
      </c>
      <c r="E1912">
        <f>WEEKNUM(Append321[[#This Row],[Date]])</f>
        <v>25</v>
      </c>
    </row>
    <row r="1913" spans="1:5">
      <c r="A1913" t="s">
        <v>111</v>
      </c>
      <c r="B1913" t="s">
        <v>96</v>
      </c>
      <c r="C1913" s="5">
        <v>45463</v>
      </c>
      <c r="D1913">
        <v>160</v>
      </c>
      <c r="E1913">
        <f>WEEKNUM(Append321[[#This Row],[Date]])</f>
        <v>25</v>
      </c>
    </row>
    <row r="1914" spans="1:5">
      <c r="A1914" t="s">
        <v>111</v>
      </c>
      <c r="B1914" t="s">
        <v>96</v>
      </c>
      <c r="C1914" s="5">
        <v>45464</v>
      </c>
      <c r="D1914">
        <v>149</v>
      </c>
      <c r="E1914">
        <f>WEEKNUM(Append321[[#This Row],[Date]])</f>
        <v>25</v>
      </c>
    </row>
    <row r="1915" spans="1:5">
      <c r="A1915" t="s">
        <v>111</v>
      </c>
      <c r="B1915" t="s">
        <v>96</v>
      </c>
      <c r="C1915" s="5">
        <v>45465</v>
      </c>
      <c r="D1915">
        <v>162</v>
      </c>
      <c r="E1915">
        <f>WEEKNUM(Append321[[#This Row],[Date]])</f>
        <v>25</v>
      </c>
    </row>
    <row r="1916" spans="1:5">
      <c r="A1916" t="s">
        <v>111</v>
      </c>
      <c r="B1916" t="s">
        <v>96</v>
      </c>
      <c r="C1916" s="5">
        <v>45466</v>
      </c>
      <c r="D1916">
        <v>142</v>
      </c>
      <c r="E1916">
        <f>WEEKNUM(Append321[[#This Row],[Date]])</f>
        <v>26</v>
      </c>
    </row>
    <row r="1917" spans="1:5">
      <c r="A1917" t="s">
        <v>111</v>
      </c>
      <c r="B1917" t="s">
        <v>96</v>
      </c>
      <c r="C1917" s="5">
        <v>45467</v>
      </c>
      <c r="D1917">
        <v>132</v>
      </c>
      <c r="E1917">
        <f>WEEKNUM(Append321[[#This Row],[Date]])</f>
        <v>26</v>
      </c>
    </row>
    <row r="1918" spans="1:5">
      <c r="A1918" t="s">
        <v>111</v>
      </c>
      <c r="B1918" t="s">
        <v>96</v>
      </c>
      <c r="C1918" s="5">
        <v>45468</v>
      </c>
      <c r="D1918">
        <v>118</v>
      </c>
      <c r="E1918">
        <f>WEEKNUM(Append321[[#This Row],[Date]])</f>
        <v>26</v>
      </c>
    </row>
    <row r="1919" spans="1:5">
      <c r="A1919" t="s">
        <v>111</v>
      </c>
      <c r="B1919" t="s">
        <v>96</v>
      </c>
      <c r="C1919" s="5">
        <v>45469</v>
      </c>
      <c r="D1919">
        <v>136</v>
      </c>
      <c r="E1919">
        <f>WEEKNUM(Append321[[#This Row],[Date]])</f>
        <v>26</v>
      </c>
    </row>
    <row r="1920" spans="1:5">
      <c r="A1920" t="s">
        <v>111</v>
      </c>
      <c r="B1920" t="s">
        <v>96</v>
      </c>
      <c r="C1920" s="5">
        <v>45470</v>
      </c>
      <c r="D1920">
        <v>118</v>
      </c>
      <c r="E1920">
        <f>WEEKNUM(Append321[[#This Row],[Date]])</f>
        <v>26</v>
      </c>
    </row>
    <row r="1921" spans="1:5">
      <c r="A1921" t="s">
        <v>111</v>
      </c>
      <c r="B1921" t="s">
        <v>96</v>
      </c>
      <c r="C1921" s="5">
        <v>45471</v>
      </c>
      <c r="D1921">
        <v>130</v>
      </c>
      <c r="E1921">
        <f>WEEKNUM(Append321[[#This Row],[Date]])</f>
        <v>26</v>
      </c>
    </row>
    <row r="1922" spans="1:5">
      <c r="A1922" t="s">
        <v>111</v>
      </c>
      <c r="B1922" t="s">
        <v>96</v>
      </c>
      <c r="C1922" s="5">
        <v>45472</v>
      </c>
      <c r="D1922">
        <v>132</v>
      </c>
      <c r="E1922">
        <f>WEEKNUM(Append321[[#This Row],[Date]])</f>
        <v>26</v>
      </c>
    </row>
    <row r="1923" spans="1:5">
      <c r="A1923" t="s">
        <v>111</v>
      </c>
      <c r="B1923" t="s">
        <v>96</v>
      </c>
      <c r="C1923" s="5">
        <v>45473</v>
      </c>
      <c r="D1923">
        <v>104</v>
      </c>
      <c r="E1923">
        <f>WEEKNUM(Append321[[#This Row],[Date]])</f>
        <v>27</v>
      </c>
    </row>
    <row r="1924" spans="1:5">
      <c r="A1924" t="s">
        <v>111</v>
      </c>
      <c r="B1924" t="s">
        <v>96</v>
      </c>
      <c r="C1924" s="5">
        <v>45474</v>
      </c>
      <c r="D1924">
        <v>130</v>
      </c>
      <c r="E1924">
        <f>WEEKNUM(Append321[[#This Row],[Date]])</f>
        <v>27</v>
      </c>
    </row>
    <row r="1925" spans="1:5">
      <c r="A1925" t="s">
        <v>111</v>
      </c>
      <c r="B1925" t="s">
        <v>96</v>
      </c>
      <c r="C1925" s="5">
        <v>45475</v>
      </c>
      <c r="D1925">
        <v>130</v>
      </c>
      <c r="E1925">
        <f>WEEKNUM(Append321[[#This Row],[Date]])</f>
        <v>27</v>
      </c>
    </row>
    <row r="1926" spans="1:5">
      <c r="A1926" t="s">
        <v>111</v>
      </c>
      <c r="B1926" t="s">
        <v>96</v>
      </c>
      <c r="C1926" s="5">
        <v>45476</v>
      </c>
      <c r="D1926">
        <v>143</v>
      </c>
      <c r="E1926">
        <f>WEEKNUM(Append321[[#This Row],[Date]])</f>
        <v>27</v>
      </c>
    </row>
    <row r="1927" spans="1:5">
      <c r="A1927" t="s">
        <v>111</v>
      </c>
      <c r="B1927" t="s">
        <v>96</v>
      </c>
      <c r="C1927" s="5">
        <v>45477</v>
      </c>
      <c r="D1927">
        <v>169</v>
      </c>
      <c r="E1927">
        <f>WEEKNUM(Append321[[#This Row],[Date]])</f>
        <v>27</v>
      </c>
    </row>
    <row r="1928" spans="1:5">
      <c r="A1928" t="s">
        <v>111</v>
      </c>
      <c r="B1928" t="s">
        <v>96</v>
      </c>
      <c r="C1928" s="5">
        <v>45478</v>
      </c>
      <c r="D1928">
        <v>157</v>
      </c>
      <c r="E1928">
        <f>WEEKNUM(Append321[[#This Row],[Date]])</f>
        <v>27</v>
      </c>
    </row>
    <row r="1929" spans="1:5">
      <c r="A1929" t="s">
        <v>111</v>
      </c>
      <c r="B1929" t="s">
        <v>96</v>
      </c>
      <c r="C1929" s="5">
        <v>45479</v>
      </c>
      <c r="D1929">
        <v>155</v>
      </c>
      <c r="E1929">
        <f>WEEKNUM(Append321[[#This Row],[Date]])</f>
        <v>27</v>
      </c>
    </row>
    <row r="1930" spans="1:5">
      <c r="A1930" t="s">
        <v>111</v>
      </c>
      <c r="B1930" t="s">
        <v>96</v>
      </c>
      <c r="C1930" s="5">
        <v>45480</v>
      </c>
      <c r="D1930">
        <v>161</v>
      </c>
      <c r="E1930">
        <f>WEEKNUM(Append321[[#This Row],[Date]])</f>
        <v>28</v>
      </c>
    </row>
    <row r="1931" spans="1:5">
      <c r="A1931" t="s">
        <v>111</v>
      </c>
      <c r="B1931" t="s">
        <v>96</v>
      </c>
      <c r="C1931" s="5">
        <v>45481</v>
      </c>
      <c r="D1931">
        <v>128</v>
      </c>
      <c r="E1931">
        <f>WEEKNUM(Append321[[#This Row],[Date]])</f>
        <v>28</v>
      </c>
    </row>
    <row r="1932" spans="1:5">
      <c r="A1932" t="s">
        <v>111</v>
      </c>
      <c r="B1932" t="s">
        <v>96</v>
      </c>
      <c r="C1932" s="5">
        <v>45482</v>
      </c>
      <c r="D1932">
        <v>127</v>
      </c>
      <c r="E1932">
        <f>WEEKNUM(Append321[[#This Row],[Date]])</f>
        <v>28</v>
      </c>
    </row>
    <row r="1933" spans="1:5">
      <c r="A1933" t="s">
        <v>111</v>
      </c>
      <c r="B1933" t="s">
        <v>96</v>
      </c>
      <c r="C1933" s="5">
        <v>45483</v>
      </c>
      <c r="D1933">
        <v>154</v>
      </c>
      <c r="E1933">
        <f>WEEKNUM(Append321[[#This Row],[Date]])</f>
        <v>28</v>
      </c>
    </row>
    <row r="1934" spans="1:5">
      <c r="A1934" t="s">
        <v>111</v>
      </c>
      <c r="B1934" t="s">
        <v>96</v>
      </c>
      <c r="C1934" s="5">
        <v>45484</v>
      </c>
      <c r="D1934">
        <v>146</v>
      </c>
      <c r="E1934">
        <f>WEEKNUM(Append321[[#This Row],[Date]])</f>
        <v>28</v>
      </c>
    </row>
    <row r="1935" spans="1:5">
      <c r="A1935" t="s">
        <v>111</v>
      </c>
      <c r="B1935" t="s">
        <v>96</v>
      </c>
      <c r="C1935" s="5">
        <v>45485</v>
      </c>
      <c r="D1935">
        <v>150</v>
      </c>
      <c r="E1935">
        <f>WEEKNUM(Append321[[#This Row],[Date]])</f>
        <v>28</v>
      </c>
    </row>
    <row r="1936" spans="1:5">
      <c r="A1936" t="s">
        <v>111</v>
      </c>
      <c r="B1936" t="s">
        <v>96</v>
      </c>
      <c r="C1936" s="5">
        <v>45486</v>
      </c>
      <c r="D1936">
        <v>167</v>
      </c>
      <c r="E1936">
        <f>WEEKNUM(Append321[[#This Row],[Date]])</f>
        <v>28</v>
      </c>
    </row>
    <row r="1937" spans="1:5">
      <c r="A1937" t="s">
        <v>111</v>
      </c>
      <c r="B1937" t="s">
        <v>96</v>
      </c>
      <c r="C1937" s="5">
        <v>45487</v>
      </c>
      <c r="D1937">
        <v>180</v>
      </c>
      <c r="E1937">
        <f>WEEKNUM(Append321[[#This Row],[Date]])</f>
        <v>29</v>
      </c>
    </row>
    <row r="1938" spans="1:5">
      <c r="A1938" t="s">
        <v>111</v>
      </c>
      <c r="B1938" t="s">
        <v>96</v>
      </c>
      <c r="C1938" s="5">
        <v>45488</v>
      </c>
      <c r="D1938">
        <v>156</v>
      </c>
      <c r="E1938">
        <f>WEEKNUM(Append321[[#This Row],[Date]])</f>
        <v>29</v>
      </c>
    </row>
    <row r="1939" spans="1:5">
      <c r="A1939" t="s">
        <v>111</v>
      </c>
      <c r="B1939" t="s">
        <v>96</v>
      </c>
      <c r="C1939" s="5">
        <v>45489</v>
      </c>
      <c r="D1939">
        <v>156</v>
      </c>
      <c r="E1939">
        <f>WEEKNUM(Append321[[#This Row],[Date]])</f>
        <v>29</v>
      </c>
    </row>
    <row r="1940" spans="1:5">
      <c r="A1940" t="s">
        <v>111</v>
      </c>
      <c r="B1940" t="s">
        <v>96</v>
      </c>
      <c r="C1940" s="5">
        <v>45490</v>
      </c>
      <c r="D1940">
        <v>144</v>
      </c>
      <c r="E1940">
        <f>WEEKNUM(Append321[[#This Row],[Date]])</f>
        <v>29</v>
      </c>
    </row>
    <row r="1941" spans="1:5">
      <c r="A1941" t="s">
        <v>111</v>
      </c>
      <c r="B1941" t="s">
        <v>96</v>
      </c>
      <c r="C1941" s="5">
        <v>45491</v>
      </c>
      <c r="D1941">
        <v>112</v>
      </c>
      <c r="E1941">
        <f>WEEKNUM(Append321[[#This Row],[Date]])</f>
        <v>29</v>
      </c>
    </row>
    <row r="1942" spans="1:5">
      <c r="A1942" t="s">
        <v>111</v>
      </c>
      <c r="B1942" t="s">
        <v>96</v>
      </c>
      <c r="C1942" s="5">
        <v>45492</v>
      </c>
      <c r="D1942">
        <v>155</v>
      </c>
      <c r="E1942">
        <f>WEEKNUM(Append321[[#This Row],[Date]])</f>
        <v>29</v>
      </c>
    </row>
    <row r="1943" spans="1:5">
      <c r="A1943" t="s">
        <v>111</v>
      </c>
      <c r="B1943" t="s">
        <v>96</v>
      </c>
      <c r="C1943" s="5">
        <v>45493</v>
      </c>
      <c r="D1943">
        <v>154</v>
      </c>
      <c r="E1943">
        <f>WEEKNUM(Append321[[#This Row],[Date]])</f>
        <v>29</v>
      </c>
    </row>
    <row r="1944" spans="1:5">
      <c r="A1944" t="s">
        <v>111</v>
      </c>
      <c r="B1944" t="s">
        <v>96</v>
      </c>
      <c r="C1944" s="5">
        <v>45494</v>
      </c>
      <c r="D1944">
        <v>144</v>
      </c>
      <c r="E1944">
        <f>WEEKNUM(Append321[[#This Row],[Date]])</f>
        <v>30</v>
      </c>
    </row>
    <row r="1945" spans="1:5">
      <c r="A1945" t="s">
        <v>111</v>
      </c>
      <c r="B1945" t="s">
        <v>96</v>
      </c>
      <c r="C1945" s="5">
        <v>45495</v>
      </c>
      <c r="D1945">
        <v>186</v>
      </c>
      <c r="E1945">
        <f>WEEKNUM(Append321[[#This Row],[Date]])</f>
        <v>30</v>
      </c>
    </row>
    <row r="1946" spans="1:5">
      <c r="A1946" t="s">
        <v>111</v>
      </c>
      <c r="B1946" t="s">
        <v>96</v>
      </c>
      <c r="C1946" s="5">
        <v>45496</v>
      </c>
      <c r="D1946">
        <v>143</v>
      </c>
      <c r="E1946">
        <f>WEEKNUM(Append321[[#This Row],[Date]])</f>
        <v>30</v>
      </c>
    </row>
    <row r="1947" spans="1:5">
      <c r="A1947" t="s">
        <v>111</v>
      </c>
      <c r="B1947" t="s">
        <v>96</v>
      </c>
      <c r="C1947" s="5">
        <v>45497</v>
      </c>
      <c r="D1947">
        <v>145</v>
      </c>
      <c r="E1947">
        <f>WEEKNUM(Append321[[#This Row],[Date]])</f>
        <v>30</v>
      </c>
    </row>
    <row r="1948" spans="1:5">
      <c r="A1948" t="s">
        <v>111</v>
      </c>
      <c r="B1948" t="s">
        <v>96</v>
      </c>
      <c r="C1948" s="5">
        <v>45498</v>
      </c>
      <c r="D1948">
        <v>136</v>
      </c>
      <c r="E1948">
        <f>WEEKNUM(Append321[[#This Row],[Date]])</f>
        <v>30</v>
      </c>
    </row>
    <row r="1949" spans="1:5">
      <c r="A1949" t="s">
        <v>111</v>
      </c>
      <c r="B1949" t="s">
        <v>96</v>
      </c>
      <c r="C1949" s="5">
        <v>45499</v>
      </c>
      <c r="D1949">
        <v>155</v>
      </c>
      <c r="E1949">
        <f>WEEKNUM(Append321[[#This Row],[Date]])</f>
        <v>30</v>
      </c>
    </row>
    <row r="1950" spans="1:5">
      <c r="A1950" t="s">
        <v>111</v>
      </c>
      <c r="B1950" t="s">
        <v>96</v>
      </c>
      <c r="C1950" s="5">
        <v>45500</v>
      </c>
      <c r="D1950">
        <v>161</v>
      </c>
      <c r="E1950">
        <f>WEEKNUM(Append321[[#This Row],[Date]])</f>
        <v>30</v>
      </c>
    </row>
    <row r="1951" spans="1:5">
      <c r="A1951" t="s">
        <v>111</v>
      </c>
      <c r="B1951" t="s">
        <v>96</v>
      </c>
      <c r="C1951" s="5">
        <v>45501</v>
      </c>
      <c r="D1951">
        <v>126</v>
      </c>
      <c r="E1951">
        <f>WEEKNUM(Append321[[#This Row],[Date]])</f>
        <v>31</v>
      </c>
    </row>
    <row r="1952" spans="1:5">
      <c r="A1952" t="s">
        <v>111</v>
      </c>
      <c r="B1952" t="s">
        <v>96</v>
      </c>
      <c r="C1952" s="5">
        <v>45502</v>
      </c>
      <c r="D1952">
        <v>132</v>
      </c>
      <c r="E1952">
        <f>WEEKNUM(Append321[[#This Row],[Date]])</f>
        <v>31</v>
      </c>
    </row>
    <row r="1953" spans="1:5">
      <c r="A1953" t="s">
        <v>111</v>
      </c>
      <c r="B1953" t="s">
        <v>96</v>
      </c>
      <c r="C1953" s="5">
        <v>45503</v>
      </c>
      <c r="D1953">
        <v>156</v>
      </c>
      <c r="E1953">
        <f>WEEKNUM(Append321[[#This Row],[Date]])</f>
        <v>31</v>
      </c>
    </row>
    <row r="1954" spans="1:5">
      <c r="A1954" t="s">
        <v>111</v>
      </c>
      <c r="B1954" t="s">
        <v>96</v>
      </c>
      <c r="C1954" s="5">
        <v>45504</v>
      </c>
      <c r="D1954">
        <v>144</v>
      </c>
      <c r="E1954">
        <f>WEEKNUM(Append321[[#This Row],[Date]])</f>
        <v>31</v>
      </c>
    </row>
    <row r="1955" spans="1:5">
      <c r="A1955" t="s">
        <v>111</v>
      </c>
      <c r="B1955" t="s">
        <v>96</v>
      </c>
      <c r="C1955" s="5">
        <v>45505</v>
      </c>
      <c r="D1955">
        <v>137</v>
      </c>
      <c r="E1955">
        <f>WEEKNUM(Append321[[#This Row],[Date]])</f>
        <v>31</v>
      </c>
    </row>
    <row r="1956" spans="1:5">
      <c r="A1956" t="s">
        <v>111</v>
      </c>
      <c r="B1956" t="s">
        <v>96</v>
      </c>
      <c r="C1956" s="5">
        <v>45506</v>
      </c>
      <c r="D1956">
        <v>129</v>
      </c>
      <c r="E1956">
        <f>WEEKNUM(Append321[[#This Row],[Date]])</f>
        <v>31</v>
      </c>
    </row>
    <row r="1957" spans="1:5">
      <c r="A1957" t="s">
        <v>111</v>
      </c>
      <c r="B1957" t="s">
        <v>96</v>
      </c>
      <c r="C1957" s="5">
        <v>45507</v>
      </c>
      <c r="D1957">
        <v>163</v>
      </c>
      <c r="E1957">
        <f>WEEKNUM(Append321[[#This Row],[Date]])</f>
        <v>31</v>
      </c>
    </row>
    <row r="1958" spans="1:5">
      <c r="A1958" t="s">
        <v>111</v>
      </c>
      <c r="B1958" t="s">
        <v>96</v>
      </c>
      <c r="C1958" s="5">
        <v>45508</v>
      </c>
      <c r="D1958">
        <v>145</v>
      </c>
      <c r="E1958">
        <f>WEEKNUM(Append321[[#This Row],[Date]])</f>
        <v>32</v>
      </c>
    </row>
    <row r="1959" spans="1:5">
      <c r="A1959" t="s">
        <v>111</v>
      </c>
      <c r="B1959" t="s">
        <v>96</v>
      </c>
      <c r="C1959" s="5">
        <v>45509</v>
      </c>
      <c r="D1959">
        <v>176</v>
      </c>
      <c r="E1959">
        <f>WEEKNUM(Append321[[#This Row],[Date]])</f>
        <v>32</v>
      </c>
    </row>
    <row r="1960" spans="1:5">
      <c r="A1960" t="s">
        <v>111</v>
      </c>
      <c r="B1960" t="s">
        <v>96</v>
      </c>
      <c r="C1960" s="5">
        <v>45510</v>
      </c>
      <c r="D1960">
        <v>147</v>
      </c>
      <c r="E1960">
        <f>WEEKNUM(Append321[[#This Row],[Date]])</f>
        <v>32</v>
      </c>
    </row>
    <row r="1961" spans="1:5">
      <c r="A1961" t="s">
        <v>111</v>
      </c>
      <c r="B1961" t="s">
        <v>96</v>
      </c>
      <c r="C1961" s="5">
        <v>45511</v>
      </c>
      <c r="D1961">
        <v>165</v>
      </c>
      <c r="E1961">
        <f>WEEKNUM(Append321[[#This Row],[Date]])</f>
        <v>32</v>
      </c>
    </row>
    <row r="1962" spans="1:5">
      <c r="A1962" t="s">
        <v>111</v>
      </c>
      <c r="B1962" t="s">
        <v>96</v>
      </c>
      <c r="C1962" s="5">
        <v>45512</v>
      </c>
      <c r="D1962">
        <v>125</v>
      </c>
      <c r="E1962">
        <f>WEEKNUM(Append321[[#This Row],[Date]])</f>
        <v>32</v>
      </c>
    </row>
    <row r="1963" spans="1:5">
      <c r="A1963" t="s">
        <v>111</v>
      </c>
      <c r="B1963" t="s">
        <v>96</v>
      </c>
      <c r="C1963" s="5">
        <v>45513</v>
      </c>
      <c r="D1963">
        <v>125</v>
      </c>
      <c r="E1963">
        <f>WEEKNUM(Append321[[#This Row],[Date]])</f>
        <v>32</v>
      </c>
    </row>
    <row r="1964" spans="1:5">
      <c r="A1964" t="s">
        <v>111</v>
      </c>
      <c r="B1964" t="s">
        <v>96</v>
      </c>
      <c r="C1964" s="5">
        <v>45514</v>
      </c>
      <c r="D1964">
        <v>138</v>
      </c>
      <c r="E1964">
        <f>WEEKNUM(Append321[[#This Row],[Date]])</f>
        <v>32</v>
      </c>
    </row>
    <row r="1965" spans="1:5">
      <c r="A1965" t="s">
        <v>111</v>
      </c>
      <c r="B1965" t="s">
        <v>96</v>
      </c>
      <c r="C1965" s="5">
        <v>45515</v>
      </c>
      <c r="D1965">
        <v>112</v>
      </c>
      <c r="E1965">
        <f>WEEKNUM(Append321[[#This Row],[Date]])</f>
        <v>33</v>
      </c>
    </row>
    <row r="1966" spans="1:5">
      <c r="A1966" t="s">
        <v>111</v>
      </c>
      <c r="B1966" t="s">
        <v>96</v>
      </c>
      <c r="C1966" s="5">
        <v>45516</v>
      </c>
      <c r="D1966">
        <v>121</v>
      </c>
      <c r="E1966">
        <f>WEEKNUM(Append321[[#This Row],[Date]])</f>
        <v>33</v>
      </c>
    </row>
    <row r="1967" spans="1:5">
      <c r="A1967" t="s">
        <v>111</v>
      </c>
      <c r="B1967" t="s">
        <v>96</v>
      </c>
      <c r="C1967" s="5">
        <v>45517</v>
      </c>
      <c r="D1967">
        <v>148</v>
      </c>
      <c r="E1967">
        <f>WEEKNUM(Append321[[#This Row],[Date]])</f>
        <v>33</v>
      </c>
    </row>
    <row r="1968" spans="1:5">
      <c r="A1968" t="s">
        <v>111</v>
      </c>
      <c r="B1968" t="s">
        <v>96</v>
      </c>
      <c r="C1968" s="5">
        <v>45518</v>
      </c>
      <c r="D1968">
        <v>124</v>
      </c>
      <c r="E1968">
        <f>WEEKNUM(Append321[[#This Row],[Date]])</f>
        <v>33</v>
      </c>
    </row>
    <row r="1969" spans="1:5">
      <c r="A1969" t="s">
        <v>111</v>
      </c>
      <c r="B1969" t="s">
        <v>96</v>
      </c>
      <c r="C1969" s="5">
        <v>45519</v>
      </c>
      <c r="D1969">
        <v>139</v>
      </c>
      <c r="E1969">
        <f>WEEKNUM(Append321[[#This Row],[Date]])</f>
        <v>33</v>
      </c>
    </row>
    <row r="1970" spans="1:5">
      <c r="A1970" t="s">
        <v>111</v>
      </c>
      <c r="B1970" t="s">
        <v>96</v>
      </c>
      <c r="C1970" s="5">
        <v>45520</v>
      </c>
      <c r="D1970">
        <v>135</v>
      </c>
      <c r="E1970">
        <f>WEEKNUM(Append321[[#This Row],[Date]])</f>
        <v>33</v>
      </c>
    </row>
    <row r="1971" spans="1:5">
      <c r="A1971" t="s">
        <v>111</v>
      </c>
      <c r="B1971" t="s">
        <v>96</v>
      </c>
      <c r="C1971" s="5">
        <v>45521</v>
      </c>
      <c r="D1971">
        <v>95</v>
      </c>
      <c r="E1971">
        <f>WEEKNUM(Append321[[#This Row],[Date]])</f>
        <v>33</v>
      </c>
    </row>
    <row r="1972" spans="1:5">
      <c r="A1972" t="s">
        <v>111</v>
      </c>
      <c r="B1972" t="s">
        <v>96</v>
      </c>
      <c r="C1972" s="5">
        <v>45522</v>
      </c>
      <c r="D1972">
        <v>125</v>
      </c>
      <c r="E1972">
        <f>WEEKNUM(Append321[[#This Row],[Date]])</f>
        <v>34</v>
      </c>
    </row>
    <row r="1973" spans="1:5">
      <c r="A1973" t="s">
        <v>111</v>
      </c>
      <c r="B1973" t="s">
        <v>96</v>
      </c>
      <c r="C1973" s="5">
        <v>45523</v>
      </c>
      <c r="D1973">
        <v>154</v>
      </c>
      <c r="E1973">
        <f>WEEKNUM(Append321[[#This Row],[Date]])</f>
        <v>34</v>
      </c>
    </row>
    <row r="1974" spans="1:5">
      <c r="A1974" t="s">
        <v>111</v>
      </c>
      <c r="B1974" t="s">
        <v>96</v>
      </c>
      <c r="C1974" s="5">
        <v>45524</v>
      </c>
      <c r="D1974">
        <v>151</v>
      </c>
      <c r="E1974">
        <f>WEEKNUM(Append321[[#This Row],[Date]])</f>
        <v>34</v>
      </c>
    </row>
    <row r="1975" spans="1:5">
      <c r="A1975" t="s">
        <v>111</v>
      </c>
      <c r="B1975" t="s">
        <v>96</v>
      </c>
      <c r="C1975" s="5">
        <v>45525</v>
      </c>
      <c r="D1975">
        <v>144</v>
      </c>
      <c r="E1975">
        <f>WEEKNUM(Append321[[#This Row],[Date]])</f>
        <v>34</v>
      </c>
    </row>
    <row r="1976" spans="1:5">
      <c r="A1976" t="s">
        <v>111</v>
      </c>
      <c r="B1976" t="s">
        <v>96</v>
      </c>
      <c r="C1976" s="5">
        <v>45526</v>
      </c>
      <c r="D1976">
        <v>121</v>
      </c>
      <c r="E1976">
        <f>WEEKNUM(Append321[[#This Row],[Date]])</f>
        <v>34</v>
      </c>
    </row>
    <row r="1977" spans="1:5">
      <c r="A1977" t="s">
        <v>111</v>
      </c>
      <c r="B1977" t="s">
        <v>96</v>
      </c>
      <c r="C1977" s="5">
        <v>45527</v>
      </c>
      <c r="D1977">
        <v>133</v>
      </c>
      <c r="E1977">
        <f>WEEKNUM(Append321[[#This Row],[Date]])</f>
        <v>34</v>
      </c>
    </row>
    <row r="1978" spans="1:5">
      <c r="A1978" t="s">
        <v>111</v>
      </c>
      <c r="B1978" t="s">
        <v>96</v>
      </c>
      <c r="C1978" s="5">
        <v>45528</v>
      </c>
      <c r="D1978">
        <v>149</v>
      </c>
      <c r="E1978">
        <f>WEEKNUM(Append321[[#This Row],[Date]])</f>
        <v>34</v>
      </c>
    </row>
    <row r="1979" spans="1:5">
      <c r="A1979" t="s">
        <v>111</v>
      </c>
      <c r="B1979" t="s">
        <v>96</v>
      </c>
      <c r="C1979" s="5">
        <v>45529</v>
      </c>
      <c r="D1979">
        <v>141</v>
      </c>
      <c r="E1979">
        <f>WEEKNUM(Append321[[#This Row],[Date]])</f>
        <v>35</v>
      </c>
    </row>
    <row r="1980" spans="1:5">
      <c r="A1980" t="s">
        <v>111</v>
      </c>
      <c r="B1980" t="s">
        <v>96</v>
      </c>
      <c r="C1980" s="5">
        <v>45530</v>
      </c>
      <c r="D1980">
        <v>134</v>
      </c>
      <c r="E1980">
        <f>WEEKNUM(Append321[[#This Row],[Date]])</f>
        <v>35</v>
      </c>
    </row>
    <row r="1981" spans="1:5">
      <c r="A1981" t="s">
        <v>111</v>
      </c>
      <c r="B1981" t="s">
        <v>96</v>
      </c>
      <c r="C1981" s="5">
        <v>45531</v>
      </c>
      <c r="D1981">
        <v>165</v>
      </c>
      <c r="E1981">
        <f>WEEKNUM(Append321[[#This Row],[Date]])</f>
        <v>35</v>
      </c>
    </row>
    <row r="1982" spans="1:5">
      <c r="A1982" t="s">
        <v>111</v>
      </c>
      <c r="B1982" t="s">
        <v>96</v>
      </c>
      <c r="C1982" s="5">
        <v>45532</v>
      </c>
      <c r="D1982">
        <v>175</v>
      </c>
      <c r="E1982">
        <f>WEEKNUM(Append321[[#This Row],[Date]])</f>
        <v>35</v>
      </c>
    </row>
    <row r="1983" spans="1:5">
      <c r="A1983" t="s">
        <v>111</v>
      </c>
      <c r="B1983" t="s">
        <v>96</v>
      </c>
      <c r="C1983" s="5">
        <v>45533</v>
      </c>
      <c r="D1983">
        <v>151</v>
      </c>
      <c r="E1983">
        <f>WEEKNUM(Append321[[#This Row],[Date]])</f>
        <v>35</v>
      </c>
    </row>
    <row r="1984" spans="1:5">
      <c r="A1984" t="s">
        <v>111</v>
      </c>
      <c r="B1984" t="s">
        <v>96</v>
      </c>
      <c r="C1984" s="5">
        <v>45534</v>
      </c>
      <c r="D1984">
        <v>132</v>
      </c>
      <c r="E1984">
        <f>WEEKNUM(Append321[[#This Row],[Date]])</f>
        <v>35</v>
      </c>
    </row>
    <row r="1985" spans="1:5">
      <c r="A1985" t="s">
        <v>111</v>
      </c>
      <c r="B1985" t="s">
        <v>96</v>
      </c>
      <c r="C1985" s="5">
        <v>45535</v>
      </c>
      <c r="D1985">
        <v>133</v>
      </c>
      <c r="E1985">
        <f>WEEKNUM(Append321[[#This Row],[Date]])</f>
        <v>35</v>
      </c>
    </row>
    <row r="1986" spans="1:5">
      <c r="A1986" t="s">
        <v>111</v>
      </c>
      <c r="B1986" t="s">
        <v>99</v>
      </c>
      <c r="C1986" s="5">
        <v>45444</v>
      </c>
      <c r="D1986">
        <v>78</v>
      </c>
      <c r="E1986">
        <f>WEEKNUM(Append321[[#This Row],[Date]])</f>
        <v>22</v>
      </c>
    </row>
    <row r="1987" spans="1:5">
      <c r="A1987" t="s">
        <v>111</v>
      </c>
      <c r="B1987" t="s">
        <v>99</v>
      </c>
      <c r="C1987" s="5">
        <v>45445</v>
      </c>
      <c r="D1987">
        <v>60</v>
      </c>
      <c r="E1987">
        <f>WEEKNUM(Append321[[#This Row],[Date]])</f>
        <v>23</v>
      </c>
    </row>
    <row r="1988" spans="1:5">
      <c r="A1988" t="s">
        <v>111</v>
      </c>
      <c r="B1988" t="s">
        <v>99</v>
      </c>
      <c r="C1988" s="5">
        <v>45446</v>
      </c>
      <c r="D1988">
        <v>91</v>
      </c>
      <c r="E1988">
        <f>WEEKNUM(Append321[[#This Row],[Date]])</f>
        <v>23</v>
      </c>
    </row>
    <row r="1989" spans="1:5">
      <c r="A1989" t="s">
        <v>111</v>
      </c>
      <c r="B1989" t="s">
        <v>99</v>
      </c>
      <c r="C1989" s="5">
        <v>45447</v>
      </c>
      <c r="D1989">
        <v>73</v>
      </c>
      <c r="E1989">
        <f>WEEKNUM(Append321[[#This Row],[Date]])</f>
        <v>23</v>
      </c>
    </row>
    <row r="1990" spans="1:5">
      <c r="A1990" t="s">
        <v>111</v>
      </c>
      <c r="B1990" t="s">
        <v>99</v>
      </c>
      <c r="C1990" s="5">
        <v>45448</v>
      </c>
      <c r="D1990">
        <v>85</v>
      </c>
      <c r="E1990">
        <f>WEEKNUM(Append321[[#This Row],[Date]])</f>
        <v>23</v>
      </c>
    </row>
    <row r="1991" spans="1:5">
      <c r="A1991" t="s">
        <v>111</v>
      </c>
      <c r="B1991" t="s">
        <v>99</v>
      </c>
      <c r="C1991" s="5">
        <v>45449</v>
      </c>
      <c r="D1991">
        <v>109</v>
      </c>
      <c r="E1991">
        <f>WEEKNUM(Append321[[#This Row],[Date]])</f>
        <v>23</v>
      </c>
    </row>
    <row r="1992" spans="1:5">
      <c r="A1992" t="s">
        <v>111</v>
      </c>
      <c r="B1992" t="s">
        <v>99</v>
      </c>
      <c r="C1992" s="5">
        <v>45450</v>
      </c>
      <c r="D1992">
        <v>116</v>
      </c>
      <c r="E1992">
        <f>WEEKNUM(Append321[[#This Row],[Date]])</f>
        <v>23</v>
      </c>
    </row>
    <row r="1993" spans="1:5">
      <c r="A1993" t="s">
        <v>111</v>
      </c>
      <c r="B1993" t="s">
        <v>99</v>
      </c>
      <c r="C1993" s="5">
        <v>45451</v>
      </c>
      <c r="D1993">
        <v>145</v>
      </c>
      <c r="E1993">
        <f>WEEKNUM(Append321[[#This Row],[Date]])</f>
        <v>23</v>
      </c>
    </row>
    <row r="1994" spans="1:5">
      <c r="A1994" t="s">
        <v>111</v>
      </c>
      <c r="B1994" t="s">
        <v>99</v>
      </c>
      <c r="C1994" s="5">
        <v>45452</v>
      </c>
      <c r="D1994">
        <v>113</v>
      </c>
      <c r="E1994">
        <f>WEEKNUM(Append321[[#This Row],[Date]])</f>
        <v>24</v>
      </c>
    </row>
    <row r="1995" spans="1:5">
      <c r="A1995" t="s">
        <v>111</v>
      </c>
      <c r="B1995" t="s">
        <v>99</v>
      </c>
      <c r="C1995" s="5">
        <v>45453</v>
      </c>
      <c r="D1995">
        <v>135</v>
      </c>
      <c r="E1995">
        <f>WEEKNUM(Append321[[#This Row],[Date]])</f>
        <v>24</v>
      </c>
    </row>
    <row r="1996" spans="1:5">
      <c r="A1996" t="s">
        <v>111</v>
      </c>
      <c r="B1996" t="s">
        <v>99</v>
      </c>
      <c r="C1996" s="5">
        <v>45454</v>
      </c>
      <c r="D1996">
        <v>147</v>
      </c>
      <c r="E1996">
        <f>WEEKNUM(Append321[[#This Row],[Date]])</f>
        <v>24</v>
      </c>
    </row>
    <row r="1997" spans="1:5">
      <c r="A1997" t="s">
        <v>111</v>
      </c>
      <c r="B1997" t="s">
        <v>99</v>
      </c>
      <c r="C1997" s="5">
        <v>45455</v>
      </c>
      <c r="D1997">
        <v>122</v>
      </c>
      <c r="E1997">
        <f>WEEKNUM(Append321[[#This Row],[Date]])</f>
        <v>24</v>
      </c>
    </row>
    <row r="1998" spans="1:5">
      <c r="A1998" t="s">
        <v>111</v>
      </c>
      <c r="B1998" t="s">
        <v>99</v>
      </c>
      <c r="C1998" s="5">
        <v>45456</v>
      </c>
      <c r="D1998">
        <v>133</v>
      </c>
      <c r="E1998">
        <f>WEEKNUM(Append321[[#This Row],[Date]])</f>
        <v>24</v>
      </c>
    </row>
    <row r="1999" spans="1:5">
      <c r="A1999" t="s">
        <v>111</v>
      </c>
      <c r="B1999" t="s">
        <v>99</v>
      </c>
      <c r="C1999" s="5">
        <v>45457</v>
      </c>
      <c r="D1999">
        <v>143</v>
      </c>
      <c r="E1999">
        <f>WEEKNUM(Append321[[#This Row],[Date]])</f>
        <v>24</v>
      </c>
    </row>
    <row r="2000" spans="1:5">
      <c r="A2000" t="s">
        <v>111</v>
      </c>
      <c r="B2000" t="s">
        <v>99</v>
      </c>
      <c r="C2000" s="5">
        <v>45458</v>
      </c>
      <c r="D2000">
        <v>141</v>
      </c>
      <c r="E2000">
        <f>WEEKNUM(Append321[[#This Row],[Date]])</f>
        <v>24</v>
      </c>
    </row>
    <row r="2001" spans="1:5">
      <c r="A2001" t="s">
        <v>111</v>
      </c>
      <c r="B2001" t="s">
        <v>99</v>
      </c>
      <c r="C2001" s="5">
        <v>45459</v>
      </c>
      <c r="D2001">
        <v>97</v>
      </c>
      <c r="E2001">
        <f>WEEKNUM(Append321[[#This Row],[Date]])</f>
        <v>25</v>
      </c>
    </row>
    <row r="2002" spans="1:5">
      <c r="A2002" t="s">
        <v>111</v>
      </c>
      <c r="B2002" t="s">
        <v>99</v>
      </c>
      <c r="C2002" s="5">
        <v>45460</v>
      </c>
      <c r="D2002">
        <v>104</v>
      </c>
      <c r="E2002">
        <f>WEEKNUM(Append321[[#This Row],[Date]])</f>
        <v>25</v>
      </c>
    </row>
    <row r="2003" spans="1:5">
      <c r="A2003" t="s">
        <v>111</v>
      </c>
      <c r="B2003" t="s">
        <v>99</v>
      </c>
      <c r="C2003" s="5">
        <v>45461</v>
      </c>
      <c r="D2003">
        <v>76</v>
      </c>
      <c r="E2003">
        <f>WEEKNUM(Append321[[#This Row],[Date]])</f>
        <v>25</v>
      </c>
    </row>
    <row r="2004" spans="1:5">
      <c r="A2004" t="s">
        <v>111</v>
      </c>
      <c r="B2004" t="s">
        <v>99</v>
      </c>
      <c r="C2004" s="5">
        <v>45462</v>
      </c>
      <c r="D2004">
        <v>84</v>
      </c>
      <c r="E2004">
        <f>WEEKNUM(Append321[[#This Row],[Date]])</f>
        <v>25</v>
      </c>
    </row>
    <row r="2005" spans="1:5">
      <c r="A2005" t="s">
        <v>111</v>
      </c>
      <c r="B2005" t="s">
        <v>99</v>
      </c>
      <c r="C2005" s="5">
        <v>45463</v>
      </c>
      <c r="D2005">
        <v>75</v>
      </c>
      <c r="E2005">
        <f>WEEKNUM(Append321[[#This Row],[Date]])</f>
        <v>25</v>
      </c>
    </row>
    <row r="2006" spans="1:5">
      <c r="A2006" t="s">
        <v>111</v>
      </c>
      <c r="B2006" t="s">
        <v>99</v>
      </c>
      <c r="C2006" s="5">
        <v>45464</v>
      </c>
      <c r="D2006">
        <v>120</v>
      </c>
      <c r="E2006">
        <f>WEEKNUM(Append321[[#This Row],[Date]])</f>
        <v>25</v>
      </c>
    </row>
    <row r="2007" spans="1:5">
      <c r="A2007" t="s">
        <v>111</v>
      </c>
      <c r="B2007" t="s">
        <v>99</v>
      </c>
      <c r="C2007" s="5">
        <v>45465</v>
      </c>
      <c r="D2007">
        <v>82</v>
      </c>
      <c r="E2007">
        <f>WEEKNUM(Append321[[#This Row],[Date]])</f>
        <v>25</v>
      </c>
    </row>
    <row r="2008" spans="1:5">
      <c r="A2008" t="s">
        <v>111</v>
      </c>
      <c r="B2008" t="s">
        <v>99</v>
      </c>
      <c r="C2008" s="5">
        <v>45466</v>
      </c>
      <c r="D2008">
        <v>88</v>
      </c>
      <c r="E2008">
        <f>WEEKNUM(Append321[[#This Row],[Date]])</f>
        <v>26</v>
      </c>
    </row>
    <row r="2009" spans="1:5">
      <c r="A2009" t="s">
        <v>111</v>
      </c>
      <c r="B2009" t="s">
        <v>99</v>
      </c>
      <c r="C2009" s="5">
        <v>45467</v>
      </c>
      <c r="D2009">
        <v>63</v>
      </c>
      <c r="E2009">
        <f>WEEKNUM(Append321[[#This Row],[Date]])</f>
        <v>26</v>
      </c>
    </row>
    <row r="2010" spans="1:5">
      <c r="A2010" t="s">
        <v>111</v>
      </c>
      <c r="B2010" t="s">
        <v>99</v>
      </c>
      <c r="C2010" s="5">
        <v>45468</v>
      </c>
      <c r="D2010">
        <v>77</v>
      </c>
      <c r="E2010">
        <f>WEEKNUM(Append321[[#This Row],[Date]])</f>
        <v>26</v>
      </c>
    </row>
    <row r="2011" spans="1:5">
      <c r="A2011" t="s">
        <v>111</v>
      </c>
      <c r="B2011" t="s">
        <v>99</v>
      </c>
      <c r="C2011" s="5">
        <v>45469</v>
      </c>
      <c r="D2011">
        <v>79</v>
      </c>
      <c r="E2011">
        <f>WEEKNUM(Append321[[#This Row],[Date]])</f>
        <v>26</v>
      </c>
    </row>
    <row r="2012" spans="1:5">
      <c r="A2012" t="s">
        <v>111</v>
      </c>
      <c r="B2012" t="s">
        <v>99</v>
      </c>
      <c r="C2012" s="5">
        <v>45470</v>
      </c>
      <c r="D2012">
        <v>72</v>
      </c>
      <c r="E2012">
        <f>WEEKNUM(Append321[[#This Row],[Date]])</f>
        <v>26</v>
      </c>
    </row>
    <row r="2013" spans="1:5">
      <c r="A2013" t="s">
        <v>111</v>
      </c>
      <c r="B2013" t="s">
        <v>99</v>
      </c>
      <c r="C2013" s="5">
        <v>45471</v>
      </c>
      <c r="D2013">
        <v>60</v>
      </c>
      <c r="E2013">
        <f>WEEKNUM(Append321[[#This Row],[Date]])</f>
        <v>26</v>
      </c>
    </row>
    <row r="2014" spans="1:5">
      <c r="A2014" t="s">
        <v>111</v>
      </c>
      <c r="B2014" t="s">
        <v>99</v>
      </c>
      <c r="C2014" s="5">
        <v>45472</v>
      </c>
      <c r="D2014">
        <v>70</v>
      </c>
      <c r="E2014">
        <f>WEEKNUM(Append321[[#This Row],[Date]])</f>
        <v>26</v>
      </c>
    </row>
    <row r="2015" spans="1:5">
      <c r="A2015" t="s">
        <v>111</v>
      </c>
      <c r="B2015" t="s">
        <v>99</v>
      </c>
      <c r="C2015" s="5">
        <v>45473</v>
      </c>
      <c r="D2015">
        <v>71</v>
      </c>
      <c r="E2015">
        <f>WEEKNUM(Append321[[#This Row],[Date]])</f>
        <v>27</v>
      </c>
    </row>
    <row r="2016" spans="1:5">
      <c r="A2016" t="s">
        <v>111</v>
      </c>
      <c r="B2016" t="s">
        <v>99</v>
      </c>
      <c r="C2016" s="5">
        <v>45474</v>
      </c>
      <c r="D2016">
        <v>52</v>
      </c>
      <c r="E2016">
        <f>WEEKNUM(Append321[[#This Row],[Date]])</f>
        <v>27</v>
      </c>
    </row>
    <row r="2017" spans="1:5">
      <c r="A2017" t="s">
        <v>111</v>
      </c>
      <c r="B2017" t="s">
        <v>99</v>
      </c>
      <c r="C2017" s="5">
        <v>45475</v>
      </c>
      <c r="D2017">
        <v>76</v>
      </c>
      <c r="E2017">
        <f>WEEKNUM(Append321[[#This Row],[Date]])</f>
        <v>27</v>
      </c>
    </row>
    <row r="2018" spans="1:5">
      <c r="A2018" t="s">
        <v>111</v>
      </c>
      <c r="B2018" t="s">
        <v>99</v>
      </c>
      <c r="C2018" s="5">
        <v>45476</v>
      </c>
      <c r="D2018">
        <v>54</v>
      </c>
      <c r="E2018">
        <f>WEEKNUM(Append321[[#This Row],[Date]])</f>
        <v>27</v>
      </c>
    </row>
    <row r="2019" spans="1:5">
      <c r="A2019" t="s">
        <v>111</v>
      </c>
      <c r="B2019" t="s">
        <v>99</v>
      </c>
      <c r="C2019" s="5">
        <v>45477</v>
      </c>
      <c r="D2019">
        <v>59</v>
      </c>
      <c r="E2019">
        <f>WEEKNUM(Append321[[#This Row],[Date]])</f>
        <v>27</v>
      </c>
    </row>
    <row r="2020" spans="1:5">
      <c r="A2020" t="s">
        <v>111</v>
      </c>
      <c r="B2020" t="s">
        <v>99</v>
      </c>
      <c r="C2020" s="5">
        <v>45478</v>
      </c>
      <c r="D2020">
        <v>85</v>
      </c>
      <c r="E2020">
        <f>WEEKNUM(Append321[[#This Row],[Date]])</f>
        <v>27</v>
      </c>
    </row>
    <row r="2021" spans="1:5">
      <c r="A2021" t="s">
        <v>111</v>
      </c>
      <c r="B2021" t="s">
        <v>99</v>
      </c>
      <c r="C2021" s="5">
        <v>45479</v>
      </c>
      <c r="D2021">
        <v>102</v>
      </c>
      <c r="E2021">
        <f>WEEKNUM(Append321[[#This Row],[Date]])</f>
        <v>27</v>
      </c>
    </row>
    <row r="2022" spans="1:5">
      <c r="A2022" t="s">
        <v>111</v>
      </c>
      <c r="B2022" t="s">
        <v>99</v>
      </c>
      <c r="C2022" s="5">
        <v>45480</v>
      </c>
      <c r="D2022">
        <v>70</v>
      </c>
      <c r="E2022">
        <f>WEEKNUM(Append321[[#This Row],[Date]])</f>
        <v>28</v>
      </c>
    </row>
    <row r="2023" spans="1:5">
      <c r="A2023" t="s">
        <v>111</v>
      </c>
      <c r="B2023" t="s">
        <v>99</v>
      </c>
      <c r="C2023" s="5">
        <v>45481</v>
      </c>
      <c r="D2023">
        <v>90</v>
      </c>
      <c r="E2023">
        <f>WEEKNUM(Append321[[#This Row],[Date]])</f>
        <v>28</v>
      </c>
    </row>
    <row r="2024" spans="1:5">
      <c r="A2024" t="s">
        <v>111</v>
      </c>
      <c r="B2024" t="s">
        <v>99</v>
      </c>
      <c r="C2024" s="5">
        <v>45482</v>
      </c>
      <c r="D2024">
        <v>80</v>
      </c>
      <c r="E2024">
        <f>WEEKNUM(Append321[[#This Row],[Date]])</f>
        <v>28</v>
      </c>
    </row>
    <row r="2025" spans="1:5">
      <c r="A2025" t="s">
        <v>111</v>
      </c>
      <c r="B2025" t="s">
        <v>99</v>
      </c>
      <c r="C2025" s="5">
        <v>45483</v>
      </c>
      <c r="D2025">
        <v>90</v>
      </c>
      <c r="E2025">
        <f>WEEKNUM(Append321[[#This Row],[Date]])</f>
        <v>28</v>
      </c>
    </row>
    <row r="2026" spans="1:5">
      <c r="A2026" t="s">
        <v>111</v>
      </c>
      <c r="B2026" t="s">
        <v>99</v>
      </c>
      <c r="C2026" s="5">
        <v>45484</v>
      </c>
      <c r="D2026">
        <v>99</v>
      </c>
      <c r="E2026">
        <f>WEEKNUM(Append321[[#This Row],[Date]])</f>
        <v>28</v>
      </c>
    </row>
    <row r="2027" spans="1:5">
      <c r="A2027" t="s">
        <v>111</v>
      </c>
      <c r="B2027" t="s">
        <v>99</v>
      </c>
      <c r="C2027" s="5">
        <v>45485</v>
      </c>
      <c r="D2027">
        <v>104</v>
      </c>
      <c r="E2027">
        <f>WEEKNUM(Append321[[#This Row],[Date]])</f>
        <v>28</v>
      </c>
    </row>
    <row r="2028" spans="1:5">
      <c r="A2028" t="s">
        <v>111</v>
      </c>
      <c r="B2028" t="s">
        <v>99</v>
      </c>
      <c r="C2028" s="5">
        <v>45486</v>
      </c>
      <c r="D2028">
        <v>87</v>
      </c>
      <c r="E2028">
        <f>WEEKNUM(Append321[[#This Row],[Date]])</f>
        <v>28</v>
      </c>
    </row>
    <row r="2029" spans="1:5">
      <c r="A2029" t="s">
        <v>111</v>
      </c>
      <c r="B2029" t="s">
        <v>99</v>
      </c>
      <c r="C2029" s="5">
        <v>45487</v>
      </c>
      <c r="D2029">
        <v>66</v>
      </c>
      <c r="E2029">
        <f>WEEKNUM(Append321[[#This Row],[Date]])</f>
        <v>29</v>
      </c>
    </row>
    <row r="2030" spans="1:5">
      <c r="A2030" t="s">
        <v>111</v>
      </c>
      <c r="B2030" t="s">
        <v>99</v>
      </c>
      <c r="C2030" s="5">
        <v>45488</v>
      </c>
      <c r="D2030">
        <v>75</v>
      </c>
      <c r="E2030">
        <f>WEEKNUM(Append321[[#This Row],[Date]])</f>
        <v>29</v>
      </c>
    </row>
    <row r="2031" spans="1:5">
      <c r="A2031" t="s">
        <v>111</v>
      </c>
      <c r="B2031" t="s">
        <v>99</v>
      </c>
      <c r="C2031" s="5">
        <v>45489</v>
      </c>
      <c r="D2031">
        <v>73</v>
      </c>
      <c r="E2031">
        <f>WEEKNUM(Append321[[#This Row],[Date]])</f>
        <v>29</v>
      </c>
    </row>
    <row r="2032" spans="1:5">
      <c r="A2032" t="s">
        <v>111</v>
      </c>
      <c r="B2032" t="s">
        <v>99</v>
      </c>
      <c r="C2032" s="5">
        <v>45490</v>
      </c>
      <c r="D2032">
        <v>56</v>
      </c>
      <c r="E2032">
        <f>WEEKNUM(Append321[[#This Row],[Date]])</f>
        <v>29</v>
      </c>
    </row>
    <row r="2033" spans="1:5">
      <c r="A2033" t="s">
        <v>111</v>
      </c>
      <c r="B2033" t="s">
        <v>99</v>
      </c>
      <c r="C2033" s="5">
        <v>45491</v>
      </c>
      <c r="D2033">
        <v>71</v>
      </c>
      <c r="E2033">
        <f>WEEKNUM(Append321[[#This Row],[Date]])</f>
        <v>29</v>
      </c>
    </row>
    <row r="2034" spans="1:5">
      <c r="A2034" t="s">
        <v>111</v>
      </c>
      <c r="B2034" t="s">
        <v>99</v>
      </c>
      <c r="C2034" s="5">
        <v>45492</v>
      </c>
      <c r="D2034">
        <v>78</v>
      </c>
      <c r="E2034">
        <f>WEEKNUM(Append321[[#This Row],[Date]])</f>
        <v>29</v>
      </c>
    </row>
    <row r="2035" spans="1:5">
      <c r="A2035" t="s">
        <v>111</v>
      </c>
      <c r="B2035" t="s">
        <v>99</v>
      </c>
      <c r="C2035" s="5">
        <v>45493</v>
      </c>
      <c r="D2035">
        <v>120</v>
      </c>
      <c r="E2035">
        <f>WEEKNUM(Append321[[#This Row],[Date]])</f>
        <v>29</v>
      </c>
    </row>
    <row r="2036" spans="1:5">
      <c r="A2036" t="s">
        <v>111</v>
      </c>
      <c r="B2036" t="s">
        <v>99</v>
      </c>
      <c r="C2036" s="5">
        <v>45494</v>
      </c>
      <c r="D2036">
        <v>59</v>
      </c>
      <c r="E2036">
        <f>WEEKNUM(Append321[[#This Row],[Date]])</f>
        <v>30</v>
      </c>
    </row>
    <row r="2037" spans="1:5">
      <c r="A2037" t="s">
        <v>111</v>
      </c>
      <c r="B2037" t="s">
        <v>99</v>
      </c>
      <c r="C2037" s="5">
        <v>45495</v>
      </c>
      <c r="D2037">
        <v>99</v>
      </c>
      <c r="E2037">
        <f>WEEKNUM(Append321[[#This Row],[Date]])</f>
        <v>30</v>
      </c>
    </row>
    <row r="2038" spans="1:5">
      <c r="A2038" t="s">
        <v>111</v>
      </c>
      <c r="B2038" t="s">
        <v>99</v>
      </c>
      <c r="C2038" s="5">
        <v>45496</v>
      </c>
      <c r="D2038">
        <v>100</v>
      </c>
      <c r="E2038">
        <f>WEEKNUM(Append321[[#This Row],[Date]])</f>
        <v>30</v>
      </c>
    </row>
    <row r="2039" spans="1:5">
      <c r="A2039" t="s">
        <v>111</v>
      </c>
      <c r="B2039" t="s">
        <v>99</v>
      </c>
      <c r="C2039" s="5">
        <v>45497</v>
      </c>
      <c r="D2039">
        <v>96</v>
      </c>
      <c r="E2039">
        <f>WEEKNUM(Append321[[#This Row],[Date]])</f>
        <v>30</v>
      </c>
    </row>
    <row r="2040" spans="1:5">
      <c r="A2040" t="s">
        <v>111</v>
      </c>
      <c r="B2040" t="s">
        <v>99</v>
      </c>
      <c r="C2040" s="5">
        <v>45498</v>
      </c>
      <c r="D2040">
        <v>65</v>
      </c>
      <c r="E2040">
        <f>WEEKNUM(Append321[[#This Row],[Date]])</f>
        <v>30</v>
      </c>
    </row>
    <row r="2041" spans="1:5">
      <c r="A2041" t="s">
        <v>111</v>
      </c>
      <c r="B2041" t="s">
        <v>99</v>
      </c>
      <c r="C2041" s="5">
        <v>45499</v>
      </c>
      <c r="D2041">
        <v>92</v>
      </c>
      <c r="E2041">
        <f>WEEKNUM(Append321[[#This Row],[Date]])</f>
        <v>30</v>
      </c>
    </row>
    <row r="2042" spans="1:5">
      <c r="A2042" t="s">
        <v>111</v>
      </c>
      <c r="B2042" t="s">
        <v>99</v>
      </c>
      <c r="C2042" s="5">
        <v>45500</v>
      </c>
      <c r="D2042">
        <v>91</v>
      </c>
      <c r="E2042">
        <f>WEEKNUM(Append321[[#This Row],[Date]])</f>
        <v>30</v>
      </c>
    </row>
    <row r="2043" spans="1:5">
      <c r="A2043" t="s">
        <v>111</v>
      </c>
      <c r="B2043" t="s">
        <v>99</v>
      </c>
      <c r="C2043" s="5">
        <v>45501</v>
      </c>
      <c r="D2043">
        <v>60</v>
      </c>
      <c r="E2043">
        <f>WEEKNUM(Append321[[#This Row],[Date]])</f>
        <v>31</v>
      </c>
    </row>
    <row r="2044" spans="1:5">
      <c r="A2044" t="s">
        <v>111</v>
      </c>
      <c r="B2044" t="s">
        <v>99</v>
      </c>
      <c r="C2044" s="5">
        <v>45502</v>
      </c>
      <c r="D2044">
        <v>69</v>
      </c>
      <c r="E2044">
        <f>WEEKNUM(Append321[[#This Row],[Date]])</f>
        <v>31</v>
      </c>
    </row>
    <row r="2045" spans="1:5">
      <c r="A2045" t="s">
        <v>111</v>
      </c>
      <c r="B2045" t="s">
        <v>99</v>
      </c>
      <c r="C2045" s="5">
        <v>45503</v>
      </c>
      <c r="D2045">
        <v>69</v>
      </c>
      <c r="E2045">
        <f>WEEKNUM(Append321[[#This Row],[Date]])</f>
        <v>31</v>
      </c>
    </row>
    <row r="2046" spans="1:5">
      <c r="A2046" t="s">
        <v>111</v>
      </c>
      <c r="B2046" t="s">
        <v>99</v>
      </c>
      <c r="C2046" s="5">
        <v>45504</v>
      </c>
      <c r="D2046">
        <v>62</v>
      </c>
      <c r="E2046">
        <f>WEEKNUM(Append321[[#This Row],[Date]])</f>
        <v>31</v>
      </c>
    </row>
    <row r="2047" spans="1:5">
      <c r="A2047" t="s">
        <v>111</v>
      </c>
      <c r="B2047" t="s">
        <v>99</v>
      </c>
      <c r="C2047" s="5">
        <v>45505</v>
      </c>
      <c r="D2047">
        <v>86</v>
      </c>
      <c r="E2047">
        <f>WEEKNUM(Append321[[#This Row],[Date]])</f>
        <v>31</v>
      </c>
    </row>
    <row r="2048" spans="1:5">
      <c r="A2048" t="s">
        <v>111</v>
      </c>
      <c r="B2048" t="s">
        <v>99</v>
      </c>
      <c r="C2048" s="5">
        <v>45506</v>
      </c>
      <c r="D2048">
        <v>96</v>
      </c>
      <c r="E2048">
        <f>WEEKNUM(Append321[[#This Row],[Date]])</f>
        <v>31</v>
      </c>
    </row>
    <row r="2049" spans="1:5">
      <c r="A2049" t="s">
        <v>111</v>
      </c>
      <c r="B2049" t="s">
        <v>99</v>
      </c>
      <c r="C2049" s="5">
        <v>45507</v>
      </c>
      <c r="D2049">
        <v>91</v>
      </c>
      <c r="E2049">
        <f>WEEKNUM(Append321[[#This Row],[Date]])</f>
        <v>31</v>
      </c>
    </row>
    <row r="2050" spans="1:5">
      <c r="A2050" t="s">
        <v>111</v>
      </c>
      <c r="B2050" t="s">
        <v>99</v>
      </c>
      <c r="C2050" s="5">
        <v>45508</v>
      </c>
      <c r="D2050">
        <v>89</v>
      </c>
      <c r="E2050">
        <f>WEEKNUM(Append321[[#This Row],[Date]])</f>
        <v>32</v>
      </c>
    </row>
    <row r="2051" spans="1:5">
      <c r="A2051" t="s">
        <v>111</v>
      </c>
      <c r="B2051" t="s">
        <v>99</v>
      </c>
      <c r="C2051" s="5">
        <v>45509</v>
      </c>
      <c r="D2051">
        <v>89</v>
      </c>
      <c r="E2051">
        <f>WEEKNUM(Append321[[#This Row],[Date]])</f>
        <v>32</v>
      </c>
    </row>
    <row r="2052" spans="1:5">
      <c r="A2052" t="s">
        <v>111</v>
      </c>
      <c r="B2052" t="s">
        <v>99</v>
      </c>
      <c r="C2052" s="5">
        <v>45510</v>
      </c>
      <c r="D2052">
        <v>86</v>
      </c>
      <c r="E2052">
        <f>WEEKNUM(Append321[[#This Row],[Date]])</f>
        <v>32</v>
      </c>
    </row>
    <row r="2053" spans="1:5">
      <c r="A2053" t="s">
        <v>111</v>
      </c>
      <c r="B2053" t="s">
        <v>99</v>
      </c>
      <c r="C2053" s="5">
        <v>45511</v>
      </c>
      <c r="D2053">
        <v>82</v>
      </c>
      <c r="E2053">
        <f>WEEKNUM(Append321[[#This Row],[Date]])</f>
        <v>32</v>
      </c>
    </row>
    <row r="2054" spans="1:5">
      <c r="A2054" t="s">
        <v>111</v>
      </c>
      <c r="B2054" t="s">
        <v>99</v>
      </c>
      <c r="C2054" s="5">
        <v>45512</v>
      </c>
      <c r="D2054">
        <v>109</v>
      </c>
      <c r="E2054">
        <f>WEEKNUM(Append321[[#This Row],[Date]])</f>
        <v>32</v>
      </c>
    </row>
    <row r="2055" spans="1:5">
      <c r="A2055" t="s">
        <v>111</v>
      </c>
      <c r="B2055" t="s">
        <v>99</v>
      </c>
      <c r="C2055" s="5">
        <v>45513</v>
      </c>
      <c r="D2055">
        <v>84</v>
      </c>
      <c r="E2055">
        <f>WEEKNUM(Append321[[#This Row],[Date]])</f>
        <v>32</v>
      </c>
    </row>
    <row r="2056" spans="1:5">
      <c r="A2056" t="s">
        <v>111</v>
      </c>
      <c r="B2056" t="s">
        <v>99</v>
      </c>
      <c r="C2056" s="5">
        <v>45514</v>
      </c>
      <c r="D2056">
        <v>79</v>
      </c>
      <c r="E2056">
        <f>WEEKNUM(Append321[[#This Row],[Date]])</f>
        <v>32</v>
      </c>
    </row>
    <row r="2057" spans="1:5">
      <c r="A2057" t="s">
        <v>111</v>
      </c>
      <c r="B2057" t="s">
        <v>99</v>
      </c>
      <c r="C2057" s="5">
        <v>45515</v>
      </c>
      <c r="D2057">
        <v>75</v>
      </c>
      <c r="E2057">
        <f>WEEKNUM(Append321[[#This Row],[Date]])</f>
        <v>33</v>
      </c>
    </row>
    <row r="2058" spans="1:5">
      <c r="A2058" t="s">
        <v>111</v>
      </c>
      <c r="B2058" t="s">
        <v>99</v>
      </c>
      <c r="C2058" s="5">
        <v>45516</v>
      </c>
      <c r="D2058">
        <v>72</v>
      </c>
      <c r="E2058">
        <f>WEEKNUM(Append321[[#This Row],[Date]])</f>
        <v>33</v>
      </c>
    </row>
    <row r="2059" spans="1:5">
      <c r="A2059" t="s">
        <v>111</v>
      </c>
      <c r="B2059" t="s">
        <v>99</v>
      </c>
      <c r="C2059" s="5">
        <v>45517</v>
      </c>
      <c r="D2059">
        <v>53</v>
      </c>
      <c r="E2059">
        <f>WEEKNUM(Append321[[#This Row],[Date]])</f>
        <v>33</v>
      </c>
    </row>
    <row r="2060" spans="1:5">
      <c r="A2060" t="s">
        <v>111</v>
      </c>
      <c r="B2060" t="s">
        <v>99</v>
      </c>
      <c r="C2060" s="5">
        <v>45518</v>
      </c>
      <c r="D2060">
        <v>65</v>
      </c>
      <c r="E2060">
        <f>WEEKNUM(Append321[[#This Row],[Date]])</f>
        <v>33</v>
      </c>
    </row>
    <row r="2061" spans="1:5">
      <c r="A2061" t="s">
        <v>111</v>
      </c>
      <c r="B2061" t="s">
        <v>99</v>
      </c>
      <c r="C2061" s="5">
        <v>45519</v>
      </c>
      <c r="D2061">
        <v>97</v>
      </c>
      <c r="E2061">
        <f>WEEKNUM(Append321[[#This Row],[Date]])</f>
        <v>33</v>
      </c>
    </row>
    <row r="2062" spans="1:5">
      <c r="A2062" t="s">
        <v>111</v>
      </c>
      <c r="B2062" t="s">
        <v>99</v>
      </c>
      <c r="C2062" s="5">
        <v>45520</v>
      </c>
      <c r="D2062">
        <v>67</v>
      </c>
      <c r="E2062">
        <f>WEEKNUM(Append321[[#This Row],[Date]])</f>
        <v>33</v>
      </c>
    </row>
    <row r="2063" spans="1:5">
      <c r="A2063" t="s">
        <v>111</v>
      </c>
      <c r="B2063" t="s">
        <v>99</v>
      </c>
      <c r="C2063" s="5">
        <v>45521</v>
      </c>
      <c r="D2063">
        <v>64</v>
      </c>
      <c r="E2063">
        <f>WEEKNUM(Append321[[#This Row],[Date]])</f>
        <v>33</v>
      </c>
    </row>
    <row r="2064" spans="1:5">
      <c r="A2064" t="s">
        <v>111</v>
      </c>
      <c r="B2064" t="s">
        <v>99</v>
      </c>
      <c r="C2064" s="5">
        <v>45522</v>
      </c>
      <c r="D2064">
        <v>76</v>
      </c>
      <c r="E2064">
        <f>WEEKNUM(Append321[[#This Row],[Date]])</f>
        <v>34</v>
      </c>
    </row>
    <row r="2065" spans="1:5">
      <c r="A2065" t="s">
        <v>111</v>
      </c>
      <c r="B2065" t="s">
        <v>99</v>
      </c>
      <c r="C2065" s="5">
        <v>45523</v>
      </c>
      <c r="D2065">
        <v>90</v>
      </c>
      <c r="E2065">
        <f>WEEKNUM(Append321[[#This Row],[Date]])</f>
        <v>34</v>
      </c>
    </row>
    <row r="2066" spans="1:5">
      <c r="A2066" t="s">
        <v>111</v>
      </c>
      <c r="B2066" t="s">
        <v>99</v>
      </c>
      <c r="C2066" s="5">
        <v>45524</v>
      </c>
      <c r="D2066">
        <v>96</v>
      </c>
      <c r="E2066">
        <f>WEEKNUM(Append321[[#This Row],[Date]])</f>
        <v>34</v>
      </c>
    </row>
    <row r="2067" spans="1:5">
      <c r="A2067" t="s">
        <v>111</v>
      </c>
      <c r="B2067" t="s">
        <v>99</v>
      </c>
      <c r="C2067" s="5">
        <v>45525</v>
      </c>
      <c r="D2067">
        <v>94</v>
      </c>
      <c r="E2067">
        <f>WEEKNUM(Append321[[#This Row],[Date]])</f>
        <v>34</v>
      </c>
    </row>
    <row r="2068" spans="1:5">
      <c r="A2068" t="s">
        <v>111</v>
      </c>
      <c r="B2068" t="s">
        <v>99</v>
      </c>
      <c r="C2068" s="5">
        <v>45526</v>
      </c>
      <c r="D2068">
        <v>85</v>
      </c>
      <c r="E2068">
        <f>WEEKNUM(Append321[[#This Row],[Date]])</f>
        <v>34</v>
      </c>
    </row>
    <row r="2069" spans="1:5">
      <c r="A2069" t="s">
        <v>111</v>
      </c>
      <c r="B2069" t="s">
        <v>99</v>
      </c>
      <c r="C2069" s="5">
        <v>45527</v>
      </c>
      <c r="D2069">
        <v>97</v>
      </c>
      <c r="E2069">
        <f>WEEKNUM(Append321[[#This Row],[Date]])</f>
        <v>34</v>
      </c>
    </row>
    <row r="2070" spans="1:5">
      <c r="A2070" t="s">
        <v>111</v>
      </c>
      <c r="B2070" t="s">
        <v>99</v>
      </c>
      <c r="C2070" s="5">
        <v>45528</v>
      </c>
      <c r="D2070">
        <v>77</v>
      </c>
      <c r="E2070">
        <f>WEEKNUM(Append321[[#This Row],[Date]])</f>
        <v>34</v>
      </c>
    </row>
    <row r="2071" spans="1:5">
      <c r="A2071" t="s">
        <v>111</v>
      </c>
      <c r="B2071" t="s">
        <v>99</v>
      </c>
      <c r="C2071" s="5">
        <v>45529</v>
      </c>
      <c r="D2071">
        <v>84</v>
      </c>
      <c r="E2071">
        <f>WEEKNUM(Append321[[#This Row],[Date]])</f>
        <v>35</v>
      </c>
    </row>
    <row r="2072" spans="1:5">
      <c r="A2072" t="s">
        <v>111</v>
      </c>
      <c r="B2072" t="s">
        <v>99</v>
      </c>
      <c r="C2072" s="5">
        <v>45530</v>
      </c>
      <c r="D2072">
        <v>81</v>
      </c>
      <c r="E2072">
        <f>WEEKNUM(Append321[[#This Row],[Date]])</f>
        <v>35</v>
      </c>
    </row>
    <row r="2073" spans="1:5">
      <c r="A2073" t="s">
        <v>111</v>
      </c>
      <c r="B2073" t="s">
        <v>99</v>
      </c>
      <c r="C2073" s="5">
        <v>45531</v>
      </c>
      <c r="D2073">
        <v>62</v>
      </c>
      <c r="E2073">
        <f>WEEKNUM(Append321[[#This Row],[Date]])</f>
        <v>35</v>
      </c>
    </row>
    <row r="2074" spans="1:5">
      <c r="A2074" t="s">
        <v>111</v>
      </c>
      <c r="B2074" t="s">
        <v>99</v>
      </c>
      <c r="C2074" s="5">
        <v>45532</v>
      </c>
      <c r="D2074">
        <v>79</v>
      </c>
      <c r="E2074">
        <f>WEEKNUM(Append321[[#This Row],[Date]])</f>
        <v>35</v>
      </c>
    </row>
    <row r="2075" spans="1:5">
      <c r="A2075" t="s">
        <v>111</v>
      </c>
      <c r="B2075" t="s">
        <v>99</v>
      </c>
      <c r="C2075" s="5">
        <v>45533</v>
      </c>
      <c r="D2075">
        <v>77</v>
      </c>
      <c r="E2075">
        <f>WEEKNUM(Append321[[#This Row],[Date]])</f>
        <v>35</v>
      </c>
    </row>
    <row r="2076" spans="1:5">
      <c r="A2076" t="s">
        <v>111</v>
      </c>
      <c r="B2076" t="s">
        <v>99</v>
      </c>
      <c r="C2076" s="5">
        <v>45534</v>
      </c>
      <c r="D2076">
        <v>89</v>
      </c>
      <c r="E2076">
        <f>WEEKNUM(Append321[[#This Row],[Date]])</f>
        <v>35</v>
      </c>
    </row>
    <row r="2077" spans="1:5">
      <c r="A2077" t="s">
        <v>111</v>
      </c>
      <c r="B2077" t="s">
        <v>99</v>
      </c>
      <c r="C2077" s="5">
        <v>45535</v>
      </c>
      <c r="D2077">
        <v>70</v>
      </c>
      <c r="E2077">
        <f>WEEKNUM(Append321[[#This Row],[Date]])</f>
        <v>35</v>
      </c>
    </row>
    <row r="2078" spans="1:5">
      <c r="A2078" t="s">
        <v>111</v>
      </c>
      <c r="B2078" t="s">
        <v>100</v>
      </c>
      <c r="C2078" s="5">
        <v>45444</v>
      </c>
      <c r="D2078">
        <v>68</v>
      </c>
      <c r="E2078">
        <f>WEEKNUM(Append321[[#This Row],[Date]])</f>
        <v>22</v>
      </c>
    </row>
    <row r="2079" spans="1:5">
      <c r="A2079" t="s">
        <v>111</v>
      </c>
      <c r="B2079" t="s">
        <v>100</v>
      </c>
      <c r="C2079" s="5">
        <v>45445</v>
      </c>
      <c r="D2079">
        <v>62</v>
      </c>
      <c r="E2079">
        <f>WEEKNUM(Append321[[#This Row],[Date]])</f>
        <v>23</v>
      </c>
    </row>
    <row r="2080" spans="1:5">
      <c r="A2080" t="s">
        <v>111</v>
      </c>
      <c r="B2080" t="s">
        <v>100</v>
      </c>
      <c r="C2080" s="5">
        <v>45446</v>
      </c>
      <c r="D2080">
        <v>52</v>
      </c>
      <c r="E2080">
        <f>WEEKNUM(Append321[[#This Row],[Date]])</f>
        <v>23</v>
      </c>
    </row>
    <row r="2081" spans="1:5">
      <c r="A2081" t="s">
        <v>111</v>
      </c>
      <c r="B2081" t="s">
        <v>100</v>
      </c>
      <c r="C2081" s="5">
        <v>45447</v>
      </c>
      <c r="D2081">
        <v>47</v>
      </c>
      <c r="E2081">
        <f>WEEKNUM(Append321[[#This Row],[Date]])</f>
        <v>23</v>
      </c>
    </row>
    <row r="2082" spans="1:5">
      <c r="A2082" t="s">
        <v>111</v>
      </c>
      <c r="B2082" t="s">
        <v>100</v>
      </c>
      <c r="C2082" s="5">
        <v>45448</v>
      </c>
      <c r="D2082">
        <v>62</v>
      </c>
      <c r="E2082">
        <f>WEEKNUM(Append321[[#This Row],[Date]])</f>
        <v>23</v>
      </c>
    </row>
    <row r="2083" spans="1:5">
      <c r="A2083" t="s">
        <v>111</v>
      </c>
      <c r="B2083" t="s">
        <v>100</v>
      </c>
      <c r="C2083" s="5">
        <v>45449</v>
      </c>
      <c r="D2083">
        <v>64</v>
      </c>
      <c r="E2083">
        <f>WEEKNUM(Append321[[#This Row],[Date]])</f>
        <v>23</v>
      </c>
    </row>
    <row r="2084" spans="1:5">
      <c r="A2084" t="s">
        <v>111</v>
      </c>
      <c r="B2084" t="s">
        <v>100</v>
      </c>
      <c r="C2084" s="5">
        <v>45450</v>
      </c>
      <c r="D2084">
        <v>87</v>
      </c>
      <c r="E2084">
        <f>WEEKNUM(Append321[[#This Row],[Date]])</f>
        <v>23</v>
      </c>
    </row>
    <row r="2085" spans="1:5">
      <c r="A2085" t="s">
        <v>111</v>
      </c>
      <c r="B2085" t="s">
        <v>100</v>
      </c>
      <c r="C2085" s="5">
        <v>45451</v>
      </c>
      <c r="D2085">
        <v>107</v>
      </c>
      <c r="E2085">
        <f>WEEKNUM(Append321[[#This Row],[Date]])</f>
        <v>23</v>
      </c>
    </row>
    <row r="2086" spans="1:5">
      <c r="A2086" t="s">
        <v>111</v>
      </c>
      <c r="B2086" t="s">
        <v>100</v>
      </c>
      <c r="C2086" s="5">
        <v>45452</v>
      </c>
      <c r="D2086">
        <v>83</v>
      </c>
      <c r="E2086">
        <f>WEEKNUM(Append321[[#This Row],[Date]])</f>
        <v>24</v>
      </c>
    </row>
    <row r="2087" spans="1:5">
      <c r="A2087" t="s">
        <v>111</v>
      </c>
      <c r="B2087" t="s">
        <v>100</v>
      </c>
      <c r="C2087" s="5">
        <v>45453</v>
      </c>
      <c r="D2087">
        <v>89</v>
      </c>
      <c r="E2087">
        <f>WEEKNUM(Append321[[#This Row],[Date]])</f>
        <v>24</v>
      </c>
    </row>
    <row r="2088" spans="1:5">
      <c r="A2088" t="s">
        <v>111</v>
      </c>
      <c r="B2088" t="s">
        <v>100</v>
      </c>
      <c r="C2088" s="5">
        <v>45454</v>
      </c>
      <c r="D2088">
        <v>94</v>
      </c>
      <c r="E2088">
        <f>WEEKNUM(Append321[[#This Row],[Date]])</f>
        <v>24</v>
      </c>
    </row>
    <row r="2089" spans="1:5">
      <c r="A2089" t="s">
        <v>111</v>
      </c>
      <c r="B2089" t="s">
        <v>100</v>
      </c>
      <c r="C2089" s="5">
        <v>45455</v>
      </c>
      <c r="D2089">
        <v>98</v>
      </c>
      <c r="E2089">
        <f>WEEKNUM(Append321[[#This Row],[Date]])</f>
        <v>24</v>
      </c>
    </row>
    <row r="2090" spans="1:5">
      <c r="A2090" t="s">
        <v>111</v>
      </c>
      <c r="B2090" t="s">
        <v>100</v>
      </c>
      <c r="C2090" s="5">
        <v>45456</v>
      </c>
      <c r="D2090">
        <v>89</v>
      </c>
      <c r="E2090">
        <f>WEEKNUM(Append321[[#This Row],[Date]])</f>
        <v>24</v>
      </c>
    </row>
    <row r="2091" spans="1:5">
      <c r="A2091" t="s">
        <v>111</v>
      </c>
      <c r="B2091" t="s">
        <v>100</v>
      </c>
      <c r="C2091" s="5">
        <v>45457</v>
      </c>
      <c r="D2091">
        <v>129</v>
      </c>
      <c r="E2091">
        <f>WEEKNUM(Append321[[#This Row],[Date]])</f>
        <v>24</v>
      </c>
    </row>
    <row r="2092" spans="1:5">
      <c r="A2092" t="s">
        <v>111</v>
      </c>
      <c r="B2092" t="s">
        <v>100</v>
      </c>
      <c r="C2092" s="5">
        <v>45458</v>
      </c>
      <c r="D2092">
        <v>106</v>
      </c>
      <c r="E2092">
        <f>WEEKNUM(Append321[[#This Row],[Date]])</f>
        <v>24</v>
      </c>
    </row>
    <row r="2093" spans="1:5">
      <c r="A2093" t="s">
        <v>111</v>
      </c>
      <c r="B2093" t="s">
        <v>100</v>
      </c>
      <c r="C2093" s="5">
        <v>45459</v>
      </c>
      <c r="D2093">
        <v>74</v>
      </c>
      <c r="E2093">
        <f>WEEKNUM(Append321[[#This Row],[Date]])</f>
        <v>25</v>
      </c>
    </row>
    <row r="2094" spans="1:5">
      <c r="A2094" t="s">
        <v>111</v>
      </c>
      <c r="B2094" t="s">
        <v>100</v>
      </c>
      <c r="C2094" s="5">
        <v>45460</v>
      </c>
      <c r="D2094">
        <v>70</v>
      </c>
      <c r="E2094">
        <f>WEEKNUM(Append321[[#This Row],[Date]])</f>
        <v>25</v>
      </c>
    </row>
    <row r="2095" spans="1:5">
      <c r="A2095" t="s">
        <v>111</v>
      </c>
      <c r="B2095" t="s">
        <v>100</v>
      </c>
      <c r="C2095" s="5">
        <v>45461</v>
      </c>
      <c r="D2095">
        <v>77</v>
      </c>
      <c r="E2095">
        <f>WEEKNUM(Append321[[#This Row],[Date]])</f>
        <v>25</v>
      </c>
    </row>
    <row r="2096" spans="1:5">
      <c r="A2096" t="s">
        <v>111</v>
      </c>
      <c r="B2096" t="s">
        <v>100</v>
      </c>
      <c r="C2096" s="5">
        <v>45462</v>
      </c>
      <c r="D2096">
        <v>67</v>
      </c>
      <c r="E2096">
        <f>WEEKNUM(Append321[[#This Row],[Date]])</f>
        <v>25</v>
      </c>
    </row>
    <row r="2097" spans="1:5">
      <c r="A2097" t="s">
        <v>111</v>
      </c>
      <c r="B2097" t="s">
        <v>100</v>
      </c>
      <c r="C2097" s="5">
        <v>45463</v>
      </c>
      <c r="D2097">
        <v>71</v>
      </c>
      <c r="E2097">
        <f>WEEKNUM(Append321[[#This Row],[Date]])</f>
        <v>25</v>
      </c>
    </row>
    <row r="2098" spans="1:5">
      <c r="A2098" t="s">
        <v>111</v>
      </c>
      <c r="B2098" t="s">
        <v>100</v>
      </c>
      <c r="C2098" s="5">
        <v>45464</v>
      </c>
      <c r="D2098">
        <v>85</v>
      </c>
      <c r="E2098">
        <f>WEEKNUM(Append321[[#This Row],[Date]])</f>
        <v>25</v>
      </c>
    </row>
    <row r="2099" spans="1:5">
      <c r="A2099" t="s">
        <v>111</v>
      </c>
      <c r="B2099" t="s">
        <v>100</v>
      </c>
      <c r="C2099" s="5">
        <v>45465</v>
      </c>
      <c r="D2099">
        <v>94</v>
      </c>
      <c r="E2099">
        <f>WEEKNUM(Append321[[#This Row],[Date]])</f>
        <v>25</v>
      </c>
    </row>
    <row r="2100" spans="1:5">
      <c r="A2100" t="s">
        <v>111</v>
      </c>
      <c r="B2100" t="s">
        <v>100</v>
      </c>
      <c r="C2100" s="5">
        <v>45466</v>
      </c>
      <c r="D2100">
        <v>55</v>
      </c>
      <c r="E2100">
        <f>WEEKNUM(Append321[[#This Row],[Date]])</f>
        <v>26</v>
      </c>
    </row>
    <row r="2101" spans="1:5">
      <c r="A2101" t="s">
        <v>111</v>
      </c>
      <c r="B2101" t="s">
        <v>100</v>
      </c>
      <c r="C2101" s="5">
        <v>45467</v>
      </c>
      <c r="D2101">
        <v>59</v>
      </c>
      <c r="E2101">
        <f>WEEKNUM(Append321[[#This Row],[Date]])</f>
        <v>26</v>
      </c>
    </row>
    <row r="2102" spans="1:5">
      <c r="A2102" t="s">
        <v>111</v>
      </c>
      <c r="B2102" t="s">
        <v>100</v>
      </c>
      <c r="C2102" s="5">
        <v>45468</v>
      </c>
      <c r="D2102">
        <v>50</v>
      </c>
      <c r="E2102">
        <f>WEEKNUM(Append321[[#This Row],[Date]])</f>
        <v>26</v>
      </c>
    </row>
    <row r="2103" spans="1:5">
      <c r="A2103" t="s">
        <v>111</v>
      </c>
      <c r="B2103" t="s">
        <v>100</v>
      </c>
      <c r="C2103" s="5">
        <v>45469</v>
      </c>
      <c r="D2103">
        <v>69</v>
      </c>
      <c r="E2103">
        <f>WEEKNUM(Append321[[#This Row],[Date]])</f>
        <v>26</v>
      </c>
    </row>
    <row r="2104" spans="1:5">
      <c r="A2104" t="s">
        <v>111</v>
      </c>
      <c r="B2104" t="s">
        <v>100</v>
      </c>
      <c r="C2104" s="5">
        <v>45470</v>
      </c>
      <c r="D2104">
        <v>74</v>
      </c>
      <c r="E2104">
        <f>WEEKNUM(Append321[[#This Row],[Date]])</f>
        <v>26</v>
      </c>
    </row>
    <row r="2105" spans="1:5">
      <c r="A2105" t="s">
        <v>111</v>
      </c>
      <c r="B2105" t="s">
        <v>100</v>
      </c>
      <c r="C2105" s="5">
        <v>45471</v>
      </c>
      <c r="D2105">
        <v>64</v>
      </c>
      <c r="E2105">
        <f>WEEKNUM(Append321[[#This Row],[Date]])</f>
        <v>26</v>
      </c>
    </row>
    <row r="2106" spans="1:5">
      <c r="A2106" t="s">
        <v>111</v>
      </c>
      <c r="B2106" t="s">
        <v>100</v>
      </c>
      <c r="C2106" s="5">
        <v>45472</v>
      </c>
      <c r="D2106">
        <v>69</v>
      </c>
      <c r="E2106">
        <f>WEEKNUM(Append321[[#This Row],[Date]])</f>
        <v>26</v>
      </c>
    </row>
    <row r="2107" spans="1:5">
      <c r="A2107" t="s">
        <v>111</v>
      </c>
      <c r="B2107" t="s">
        <v>100</v>
      </c>
      <c r="C2107" s="5">
        <v>45473</v>
      </c>
      <c r="D2107">
        <v>57</v>
      </c>
      <c r="E2107">
        <f>WEEKNUM(Append321[[#This Row],[Date]])</f>
        <v>27</v>
      </c>
    </row>
    <row r="2108" spans="1:5">
      <c r="A2108" t="s">
        <v>111</v>
      </c>
      <c r="B2108" t="s">
        <v>100</v>
      </c>
      <c r="C2108" s="5">
        <v>45474</v>
      </c>
      <c r="D2108">
        <v>59</v>
      </c>
      <c r="E2108">
        <f>WEEKNUM(Append321[[#This Row],[Date]])</f>
        <v>27</v>
      </c>
    </row>
    <row r="2109" spans="1:5">
      <c r="A2109" t="s">
        <v>111</v>
      </c>
      <c r="B2109" t="s">
        <v>100</v>
      </c>
      <c r="C2109" s="5">
        <v>45475</v>
      </c>
      <c r="D2109">
        <v>64</v>
      </c>
      <c r="E2109">
        <f>WEEKNUM(Append321[[#This Row],[Date]])</f>
        <v>27</v>
      </c>
    </row>
    <row r="2110" spans="1:5">
      <c r="A2110" t="s">
        <v>111</v>
      </c>
      <c r="B2110" t="s">
        <v>100</v>
      </c>
      <c r="C2110" s="5">
        <v>45476</v>
      </c>
      <c r="D2110">
        <v>73</v>
      </c>
      <c r="E2110">
        <f>WEEKNUM(Append321[[#This Row],[Date]])</f>
        <v>27</v>
      </c>
    </row>
    <row r="2111" spans="1:5">
      <c r="A2111" t="s">
        <v>111</v>
      </c>
      <c r="B2111" t="s">
        <v>100</v>
      </c>
      <c r="C2111" s="5">
        <v>45477</v>
      </c>
      <c r="D2111">
        <v>77</v>
      </c>
      <c r="E2111">
        <f>WEEKNUM(Append321[[#This Row],[Date]])</f>
        <v>27</v>
      </c>
    </row>
    <row r="2112" spans="1:5">
      <c r="A2112" t="s">
        <v>111</v>
      </c>
      <c r="B2112" t="s">
        <v>100</v>
      </c>
      <c r="C2112" s="5">
        <v>45478</v>
      </c>
      <c r="D2112">
        <v>79</v>
      </c>
      <c r="E2112">
        <f>WEEKNUM(Append321[[#This Row],[Date]])</f>
        <v>27</v>
      </c>
    </row>
    <row r="2113" spans="1:5">
      <c r="A2113" t="s">
        <v>111</v>
      </c>
      <c r="B2113" t="s">
        <v>100</v>
      </c>
      <c r="C2113" s="5">
        <v>45479</v>
      </c>
      <c r="D2113">
        <v>93</v>
      </c>
      <c r="E2113">
        <f>WEEKNUM(Append321[[#This Row],[Date]])</f>
        <v>27</v>
      </c>
    </row>
    <row r="2114" spans="1:5">
      <c r="A2114" t="s">
        <v>111</v>
      </c>
      <c r="B2114" t="s">
        <v>100</v>
      </c>
      <c r="C2114" s="5">
        <v>45480</v>
      </c>
      <c r="D2114">
        <v>82</v>
      </c>
      <c r="E2114">
        <f>WEEKNUM(Append321[[#This Row],[Date]])</f>
        <v>28</v>
      </c>
    </row>
    <row r="2115" spans="1:5">
      <c r="A2115" t="s">
        <v>111</v>
      </c>
      <c r="B2115" t="s">
        <v>100</v>
      </c>
      <c r="C2115" s="5">
        <v>45481</v>
      </c>
      <c r="D2115">
        <v>69</v>
      </c>
      <c r="E2115">
        <f>WEEKNUM(Append321[[#This Row],[Date]])</f>
        <v>28</v>
      </c>
    </row>
    <row r="2116" spans="1:5">
      <c r="A2116" t="s">
        <v>111</v>
      </c>
      <c r="B2116" t="s">
        <v>100</v>
      </c>
      <c r="C2116" s="5">
        <v>45482</v>
      </c>
      <c r="D2116">
        <v>70</v>
      </c>
      <c r="E2116">
        <f>WEEKNUM(Append321[[#This Row],[Date]])</f>
        <v>28</v>
      </c>
    </row>
    <row r="2117" spans="1:5">
      <c r="A2117" t="s">
        <v>111</v>
      </c>
      <c r="B2117" t="s">
        <v>100</v>
      </c>
      <c r="C2117" s="5">
        <v>45483</v>
      </c>
      <c r="D2117">
        <v>91</v>
      </c>
      <c r="E2117">
        <f>WEEKNUM(Append321[[#This Row],[Date]])</f>
        <v>28</v>
      </c>
    </row>
    <row r="2118" spans="1:5">
      <c r="A2118" t="s">
        <v>111</v>
      </c>
      <c r="B2118" t="s">
        <v>100</v>
      </c>
      <c r="C2118" s="5">
        <v>45484</v>
      </c>
      <c r="D2118">
        <v>82</v>
      </c>
      <c r="E2118">
        <f>WEEKNUM(Append321[[#This Row],[Date]])</f>
        <v>28</v>
      </c>
    </row>
    <row r="2119" spans="1:5">
      <c r="A2119" t="s">
        <v>111</v>
      </c>
      <c r="B2119" t="s">
        <v>100</v>
      </c>
      <c r="C2119" s="5">
        <v>45485</v>
      </c>
      <c r="D2119">
        <v>98</v>
      </c>
      <c r="E2119">
        <f>WEEKNUM(Append321[[#This Row],[Date]])</f>
        <v>28</v>
      </c>
    </row>
    <row r="2120" spans="1:5">
      <c r="A2120" t="s">
        <v>111</v>
      </c>
      <c r="B2120" t="s">
        <v>100</v>
      </c>
      <c r="C2120" s="5">
        <v>45486</v>
      </c>
      <c r="D2120">
        <v>107</v>
      </c>
      <c r="E2120">
        <f>WEEKNUM(Append321[[#This Row],[Date]])</f>
        <v>28</v>
      </c>
    </row>
    <row r="2121" spans="1:5">
      <c r="A2121" t="s">
        <v>111</v>
      </c>
      <c r="B2121" t="s">
        <v>100</v>
      </c>
      <c r="C2121" s="5">
        <v>45487</v>
      </c>
      <c r="D2121">
        <v>55</v>
      </c>
      <c r="E2121">
        <f>WEEKNUM(Append321[[#This Row],[Date]])</f>
        <v>29</v>
      </c>
    </row>
    <row r="2122" spans="1:5">
      <c r="A2122" t="s">
        <v>111</v>
      </c>
      <c r="B2122" t="s">
        <v>100</v>
      </c>
      <c r="C2122" s="5">
        <v>45488</v>
      </c>
      <c r="D2122">
        <v>76</v>
      </c>
      <c r="E2122">
        <f>WEEKNUM(Append321[[#This Row],[Date]])</f>
        <v>29</v>
      </c>
    </row>
    <row r="2123" spans="1:5">
      <c r="A2123" t="s">
        <v>111</v>
      </c>
      <c r="B2123" t="s">
        <v>100</v>
      </c>
      <c r="C2123" s="5">
        <v>45489</v>
      </c>
      <c r="D2123">
        <v>66</v>
      </c>
      <c r="E2123">
        <f>WEEKNUM(Append321[[#This Row],[Date]])</f>
        <v>29</v>
      </c>
    </row>
    <row r="2124" spans="1:5">
      <c r="A2124" t="s">
        <v>111</v>
      </c>
      <c r="B2124" t="s">
        <v>100</v>
      </c>
      <c r="C2124" s="5">
        <v>45490</v>
      </c>
      <c r="D2124">
        <v>70</v>
      </c>
      <c r="E2124">
        <f>WEEKNUM(Append321[[#This Row],[Date]])</f>
        <v>29</v>
      </c>
    </row>
    <row r="2125" spans="1:5">
      <c r="A2125" t="s">
        <v>111</v>
      </c>
      <c r="B2125" t="s">
        <v>100</v>
      </c>
      <c r="C2125" s="5">
        <v>45491</v>
      </c>
      <c r="D2125">
        <v>66</v>
      </c>
      <c r="E2125">
        <f>WEEKNUM(Append321[[#This Row],[Date]])</f>
        <v>29</v>
      </c>
    </row>
    <row r="2126" spans="1:5">
      <c r="A2126" t="s">
        <v>111</v>
      </c>
      <c r="B2126" t="s">
        <v>100</v>
      </c>
      <c r="C2126" s="5">
        <v>45492</v>
      </c>
      <c r="D2126">
        <v>66</v>
      </c>
      <c r="E2126">
        <f>WEEKNUM(Append321[[#This Row],[Date]])</f>
        <v>29</v>
      </c>
    </row>
    <row r="2127" spans="1:5">
      <c r="A2127" t="s">
        <v>111</v>
      </c>
      <c r="B2127" t="s">
        <v>100</v>
      </c>
      <c r="C2127" s="5">
        <v>45493</v>
      </c>
      <c r="D2127">
        <v>68</v>
      </c>
      <c r="E2127">
        <f>WEEKNUM(Append321[[#This Row],[Date]])</f>
        <v>29</v>
      </c>
    </row>
    <row r="2128" spans="1:5">
      <c r="A2128" t="s">
        <v>111</v>
      </c>
      <c r="B2128" t="s">
        <v>100</v>
      </c>
      <c r="C2128" s="5">
        <v>45494</v>
      </c>
      <c r="D2128">
        <v>60</v>
      </c>
      <c r="E2128">
        <f>WEEKNUM(Append321[[#This Row],[Date]])</f>
        <v>30</v>
      </c>
    </row>
    <row r="2129" spans="1:5">
      <c r="A2129" t="s">
        <v>111</v>
      </c>
      <c r="B2129" t="s">
        <v>100</v>
      </c>
      <c r="C2129" s="5">
        <v>45495</v>
      </c>
      <c r="D2129">
        <v>68</v>
      </c>
      <c r="E2129">
        <f>WEEKNUM(Append321[[#This Row],[Date]])</f>
        <v>30</v>
      </c>
    </row>
    <row r="2130" spans="1:5">
      <c r="A2130" t="s">
        <v>111</v>
      </c>
      <c r="B2130" t="s">
        <v>100</v>
      </c>
      <c r="C2130" s="5">
        <v>45496</v>
      </c>
      <c r="D2130">
        <v>62</v>
      </c>
      <c r="E2130">
        <f>WEEKNUM(Append321[[#This Row],[Date]])</f>
        <v>30</v>
      </c>
    </row>
    <row r="2131" spans="1:5">
      <c r="A2131" t="s">
        <v>111</v>
      </c>
      <c r="B2131" t="s">
        <v>100</v>
      </c>
      <c r="C2131" s="5">
        <v>45497</v>
      </c>
      <c r="D2131">
        <v>73</v>
      </c>
      <c r="E2131">
        <f>WEEKNUM(Append321[[#This Row],[Date]])</f>
        <v>30</v>
      </c>
    </row>
    <row r="2132" spans="1:5">
      <c r="A2132" t="s">
        <v>111</v>
      </c>
      <c r="B2132" t="s">
        <v>100</v>
      </c>
      <c r="C2132" s="5">
        <v>45498</v>
      </c>
      <c r="D2132">
        <v>80</v>
      </c>
      <c r="E2132">
        <f>WEEKNUM(Append321[[#This Row],[Date]])</f>
        <v>30</v>
      </c>
    </row>
    <row r="2133" spans="1:5">
      <c r="A2133" t="s">
        <v>111</v>
      </c>
      <c r="B2133" t="s">
        <v>100</v>
      </c>
      <c r="C2133" s="5">
        <v>45499</v>
      </c>
      <c r="D2133">
        <v>60</v>
      </c>
      <c r="E2133">
        <f>WEEKNUM(Append321[[#This Row],[Date]])</f>
        <v>30</v>
      </c>
    </row>
    <row r="2134" spans="1:5">
      <c r="A2134" t="s">
        <v>111</v>
      </c>
      <c r="B2134" t="s">
        <v>100</v>
      </c>
      <c r="C2134" s="5">
        <v>45500</v>
      </c>
      <c r="D2134">
        <v>82</v>
      </c>
      <c r="E2134">
        <f>WEEKNUM(Append321[[#This Row],[Date]])</f>
        <v>30</v>
      </c>
    </row>
    <row r="2135" spans="1:5">
      <c r="A2135" t="s">
        <v>111</v>
      </c>
      <c r="B2135" t="s">
        <v>100</v>
      </c>
      <c r="C2135" s="5">
        <v>45501</v>
      </c>
      <c r="D2135">
        <v>56</v>
      </c>
      <c r="E2135">
        <f>WEEKNUM(Append321[[#This Row],[Date]])</f>
        <v>31</v>
      </c>
    </row>
    <row r="2136" spans="1:5">
      <c r="A2136" t="s">
        <v>111</v>
      </c>
      <c r="B2136" t="s">
        <v>100</v>
      </c>
      <c r="C2136" s="5">
        <v>45502</v>
      </c>
      <c r="D2136">
        <v>65</v>
      </c>
      <c r="E2136">
        <f>WEEKNUM(Append321[[#This Row],[Date]])</f>
        <v>31</v>
      </c>
    </row>
    <row r="2137" spans="1:5">
      <c r="A2137" t="s">
        <v>111</v>
      </c>
      <c r="B2137" t="s">
        <v>100</v>
      </c>
      <c r="C2137" s="5">
        <v>45503</v>
      </c>
      <c r="D2137">
        <v>58</v>
      </c>
      <c r="E2137">
        <f>WEEKNUM(Append321[[#This Row],[Date]])</f>
        <v>31</v>
      </c>
    </row>
    <row r="2138" spans="1:5">
      <c r="A2138" t="s">
        <v>111</v>
      </c>
      <c r="B2138" t="s">
        <v>100</v>
      </c>
      <c r="C2138" s="5">
        <v>45504</v>
      </c>
      <c r="D2138">
        <v>63</v>
      </c>
      <c r="E2138">
        <f>WEEKNUM(Append321[[#This Row],[Date]])</f>
        <v>31</v>
      </c>
    </row>
    <row r="2139" spans="1:5">
      <c r="A2139" t="s">
        <v>111</v>
      </c>
      <c r="B2139" t="s">
        <v>100</v>
      </c>
      <c r="C2139" s="5">
        <v>45505</v>
      </c>
      <c r="D2139">
        <v>59</v>
      </c>
      <c r="E2139">
        <f>WEEKNUM(Append321[[#This Row],[Date]])</f>
        <v>31</v>
      </c>
    </row>
    <row r="2140" spans="1:5">
      <c r="A2140" t="s">
        <v>111</v>
      </c>
      <c r="B2140" t="s">
        <v>100</v>
      </c>
      <c r="C2140" s="5">
        <v>45506</v>
      </c>
      <c r="D2140">
        <v>74</v>
      </c>
      <c r="E2140">
        <f>WEEKNUM(Append321[[#This Row],[Date]])</f>
        <v>31</v>
      </c>
    </row>
    <row r="2141" spans="1:5">
      <c r="A2141" t="s">
        <v>111</v>
      </c>
      <c r="B2141" t="s">
        <v>100</v>
      </c>
      <c r="C2141" s="5">
        <v>45507</v>
      </c>
      <c r="D2141">
        <v>78</v>
      </c>
      <c r="E2141">
        <f>WEEKNUM(Append321[[#This Row],[Date]])</f>
        <v>31</v>
      </c>
    </row>
    <row r="2142" spans="1:5">
      <c r="A2142" t="s">
        <v>111</v>
      </c>
      <c r="B2142" t="s">
        <v>100</v>
      </c>
      <c r="C2142" s="5">
        <v>45508</v>
      </c>
      <c r="D2142">
        <v>41</v>
      </c>
      <c r="E2142">
        <f>WEEKNUM(Append321[[#This Row],[Date]])</f>
        <v>32</v>
      </c>
    </row>
    <row r="2143" spans="1:5">
      <c r="A2143" t="s">
        <v>111</v>
      </c>
      <c r="B2143" t="s">
        <v>100</v>
      </c>
      <c r="C2143" s="5">
        <v>45509</v>
      </c>
      <c r="D2143">
        <v>48</v>
      </c>
      <c r="E2143">
        <f>WEEKNUM(Append321[[#This Row],[Date]])</f>
        <v>32</v>
      </c>
    </row>
    <row r="2144" spans="1:5">
      <c r="A2144" t="s">
        <v>111</v>
      </c>
      <c r="B2144" t="s">
        <v>100</v>
      </c>
      <c r="C2144" s="5">
        <v>45510</v>
      </c>
      <c r="D2144">
        <v>55</v>
      </c>
      <c r="E2144">
        <f>WEEKNUM(Append321[[#This Row],[Date]])</f>
        <v>32</v>
      </c>
    </row>
    <row r="2145" spans="1:5">
      <c r="A2145" t="s">
        <v>111</v>
      </c>
      <c r="B2145" t="s">
        <v>100</v>
      </c>
      <c r="C2145" s="5">
        <v>45511</v>
      </c>
      <c r="D2145">
        <v>66</v>
      </c>
      <c r="E2145">
        <f>WEEKNUM(Append321[[#This Row],[Date]])</f>
        <v>32</v>
      </c>
    </row>
    <row r="2146" spans="1:5">
      <c r="A2146" t="s">
        <v>111</v>
      </c>
      <c r="B2146" t="s">
        <v>100</v>
      </c>
      <c r="C2146" s="5">
        <v>45512</v>
      </c>
      <c r="D2146">
        <v>78</v>
      </c>
      <c r="E2146">
        <f>WEEKNUM(Append321[[#This Row],[Date]])</f>
        <v>32</v>
      </c>
    </row>
    <row r="2147" spans="1:5">
      <c r="A2147" t="s">
        <v>111</v>
      </c>
      <c r="B2147" t="s">
        <v>100</v>
      </c>
      <c r="C2147" s="5">
        <v>45513</v>
      </c>
      <c r="D2147">
        <v>96</v>
      </c>
      <c r="E2147">
        <f>WEEKNUM(Append321[[#This Row],[Date]])</f>
        <v>32</v>
      </c>
    </row>
    <row r="2148" spans="1:5">
      <c r="A2148" t="s">
        <v>111</v>
      </c>
      <c r="B2148" t="s">
        <v>100</v>
      </c>
      <c r="C2148" s="5">
        <v>45514</v>
      </c>
      <c r="D2148">
        <v>103</v>
      </c>
      <c r="E2148">
        <f>WEEKNUM(Append321[[#This Row],[Date]])</f>
        <v>32</v>
      </c>
    </row>
    <row r="2149" spans="1:5">
      <c r="A2149" t="s">
        <v>111</v>
      </c>
      <c r="B2149" t="s">
        <v>100</v>
      </c>
      <c r="C2149" s="5">
        <v>45515</v>
      </c>
      <c r="D2149">
        <v>49</v>
      </c>
      <c r="E2149">
        <f>WEEKNUM(Append321[[#This Row],[Date]])</f>
        <v>33</v>
      </c>
    </row>
    <row r="2150" spans="1:5">
      <c r="A2150" t="s">
        <v>111</v>
      </c>
      <c r="B2150" t="s">
        <v>100</v>
      </c>
      <c r="C2150" s="5">
        <v>45516</v>
      </c>
      <c r="D2150">
        <v>68</v>
      </c>
      <c r="E2150">
        <f>WEEKNUM(Append321[[#This Row],[Date]])</f>
        <v>33</v>
      </c>
    </row>
    <row r="2151" spans="1:5">
      <c r="A2151" t="s">
        <v>111</v>
      </c>
      <c r="B2151" t="s">
        <v>100</v>
      </c>
      <c r="C2151" s="5">
        <v>45517</v>
      </c>
      <c r="D2151">
        <v>72</v>
      </c>
      <c r="E2151">
        <f>WEEKNUM(Append321[[#This Row],[Date]])</f>
        <v>33</v>
      </c>
    </row>
    <row r="2152" spans="1:5">
      <c r="A2152" t="s">
        <v>111</v>
      </c>
      <c r="B2152" t="s">
        <v>100</v>
      </c>
      <c r="C2152" s="5">
        <v>45518</v>
      </c>
      <c r="D2152">
        <v>64</v>
      </c>
      <c r="E2152">
        <f>WEEKNUM(Append321[[#This Row],[Date]])</f>
        <v>33</v>
      </c>
    </row>
    <row r="2153" spans="1:5">
      <c r="A2153" t="s">
        <v>111</v>
      </c>
      <c r="B2153" t="s">
        <v>100</v>
      </c>
      <c r="C2153" s="5">
        <v>45519</v>
      </c>
      <c r="D2153">
        <v>77</v>
      </c>
      <c r="E2153">
        <f>WEEKNUM(Append321[[#This Row],[Date]])</f>
        <v>33</v>
      </c>
    </row>
    <row r="2154" spans="1:5">
      <c r="A2154" t="s">
        <v>111</v>
      </c>
      <c r="B2154" t="s">
        <v>100</v>
      </c>
      <c r="C2154" s="5">
        <v>45520</v>
      </c>
      <c r="D2154">
        <v>75</v>
      </c>
      <c r="E2154">
        <f>WEEKNUM(Append321[[#This Row],[Date]])</f>
        <v>33</v>
      </c>
    </row>
    <row r="2155" spans="1:5">
      <c r="A2155" t="s">
        <v>111</v>
      </c>
      <c r="B2155" t="s">
        <v>100</v>
      </c>
      <c r="C2155" s="5">
        <v>45521</v>
      </c>
      <c r="D2155">
        <v>65</v>
      </c>
      <c r="E2155">
        <f>WEEKNUM(Append321[[#This Row],[Date]])</f>
        <v>33</v>
      </c>
    </row>
    <row r="2156" spans="1:5">
      <c r="A2156" t="s">
        <v>111</v>
      </c>
      <c r="B2156" t="s">
        <v>100</v>
      </c>
      <c r="C2156" s="5">
        <v>45522</v>
      </c>
      <c r="D2156">
        <v>64</v>
      </c>
      <c r="E2156">
        <f>WEEKNUM(Append321[[#This Row],[Date]])</f>
        <v>34</v>
      </c>
    </row>
    <row r="2157" spans="1:5">
      <c r="A2157" t="s">
        <v>111</v>
      </c>
      <c r="B2157" t="s">
        <v>100</v>
      </c>
      <c r="C2157" s="5">
        <v>45523</v>
      </c>
      <c r="D2157">
        <v>47</v>
      </c>
      <c r="E2157">
        <f>WEEKNUM(Append321[[#This Row],[Date]])</f>
        <v>34</v>
      </c>
    </row>
    <row r="2158" spans="1:5">
      <c r="A2158" t="s">
        <v>111</v>
      </c>
      <c r="B2158" t="s">
        <v>100</v>
      </c>
      <c r="C2158" s="5">
        <v>45524</v>
      </c>
      <c r="D2158">
        <v>69</v>
      </c>
      <c r="E2158">
        <f>WEEKNUM(Append321[[#This Row],[Date]])</f>
        <v>34</v>
      </c>
    </row>
    <row r="2159" spans="1:5">
      <c r="A2159" t="s">
        <v>111</v>
      </c>
      <c r="B2159" t="s">
        <v>100</v>
      </c>
      <c r="C2159" s="5">
        <v>45525</v>
      </c>
      <c r="D2159">
        <v>65</v>
      </c>
      <c r="E2159">
        <f>WEEKNUM(Append321[[#This Row],[Date]])</f>
        <v>34</v>
      </c>
    </row>
    <row r="2160" spans="1:5">
      <c r="A2160" t="s">
        <v>111</v>
      </c>
      <c r="B2160" t="s">
        <v>100</v>
      </c>
      <c r="C2160" s="5">
        <v>45526</v>
      </c>
      <c r="D2160">
        <v>61</v>
      </c>
      <c r="E2160">
        <f>WEEKNUM(Append321[[#This Row],[Date]])</f>
        <v>34</v>
      </c>
    </row>
    <row r="2161" spans="1:5">
      <c r="A2161" t="s">
        <v>111</v>
      </c>
      <c r="B2161" t="s">
        <v>100</v>
      </c>
      <c r="C2161" s="5">
        <v>45527</v>
      </c>
      <c r="D2161">
        <v>71</v>
      </c>
      <c r="E2161">
        <f>WEEKNUM(Append321[[#This Row],[Date]])</f>
        <v>34</v>
      </c>
    </row>
    <row r="2162" spans="1:5">
      <c r="A2162" t="s">
        <v>111</v>
      </c>
      <c r="B2162" t="s">
        <v>100</v>
      </c>
      <c r="C2162" s="5">
        <v>45528</v>
      </c>
      <c r="D2162">
        <v>71</v>
      </c>
      <c r="E2162">
        <f>WEEKNUM(Append321[[#This Row],[Date]])</f>
        <v>34</v>
      </c>
    </row>
    <row r="2163" spans="1:5">
      <c r="A2163" t="s">
        <v>111</v>
      </c>
      <c r="B2163" t="s">
        <v>100</v>
      </c>
      <c r="C2163" s="5">
        <v>45529</v>
      </c>
      <c r="D2163">
        <v>56</v>
      </c>
      <c r="E2163">
        <f>WEEKNUM(Append321[[#This Row],[Date]])</f>
        <v>35</v>
      </c>
    </row>
    <row r="2164" spans="1:5">
      <c r="A2164" t="s">
        <v>111</v>
      </c>
      <c r="B2164" t="s">
        <v>100</v>
      </c>
      <c r="C2164" s="5">
        <v>45530</v>
      </c>
      <c r="D2164">
        <v>53</v>
      </c>
      <c r="E2164">
        <f>WEEKNUM(Append321[[#This Row],[Date]])</f>
        <v>35</v>
      </c>
    </row>
    <row r="2165" spans="1:5">
      <c r="A2165" t="s">
        <v>111</v>
      </c>
      <c r="B2165" t="s">
        <v>100</v>
      </c>
      <c r="C2165" s="5">
        <v>45531</v>
      </c>
      <c r="D2165">
        <v>66</v>
      </c>
      <c r="E2165">
        <f>WEEKNUM(Append321[[#This Row],[Date]])</f>
        <v>35</v>
      </c>
    </row>
    <row r="2166" spans="1:5">
      <c r="A2166" t="s">
        <v>111</v>
      </c>
      <c r="B2166" t="s">
        <v>100</v>
      </c>
      <c r="C2166" s="5">
        <v>45532</v>
      </c>
      <c r="D2166">
        <v>69</v>
      </c>
      <c r="E2166">
        <f>WEEKNUM(Append321[[#This Row],[Date]])</f>
        <v>35</v>
      </c>
    </row>
    <row r="2167" spans="1:5">
      <c r="A2167" t="s">
        <v>111</v>
      </c>
      <c r="B2167" t="s">
        <v>100</v>
      </c>
      <c r="C2167" s="5">
        <v>45533</v>
      </c>
      <c r="D2167">
        <v>63</v>
      </c>
      <c r="E2167">
        <f>WEEKNUM(Append321[[#This Row],[Date]])</f>
        <v>35</v>
      </c>
    </row>
    <row r="2168" spans="1:5">
      <c r="A2168" t="s">
        <v>111</v>
      </c>
      <c r="B2168" t="s">
        <v>100</v>
      </c>
      <c r="C2168" s="5">
        <v>45534</v>
      </c>
      <c r="D2168">
        <v>72</v>
      </c>
      <c r="E2168">
        <f>WEEKNUM(Append321[[#This Row],[Date]])</f>
        <v>35</v>
      </c>
    </row>
    <row r="2169" spans="1:5">
      <c r="A2169" t="s">
        <v>111</v>
      </c>
      <c r="B2169" t="s">
        <v>100</v>
      </c>
      <c r="C2169" s="5">
        <v>45535</v>
      </c>
      <c r="D2169">
        <v>57</v>
      </c>
      <c r="E2169">
        <f>WEEKNUM(Append321[[#This Row],[Date]])</f>
        <v>35</v>
      </c>
    </row>
    <row r="2170" spans="1:5">
      <c r="A2170" t="s">
        <v>111</v>
      </c>
      <c r="B2170" t="s">
        <v>101</v>
      </c>
      <c r="C2170" s="5">
        <v>45444</v>
      </c>
      <c r="D2170">
        <v>20</v>
      </c>
      <c r="E2170">
        <f>WEEKNUM(Append321[[#This Row],[Date]])</f>
        <v>22</v>
      </c>
    </row>
    <row r="2171" spans="1:5">
      <c r="A2171" t="s">
        <v>111</v>
      </c>
      <c r="B2171" t="s">
        <v>101</v>
      </c>
      <c r="C2171" s="5">
        <v>45445</v>
      </c>
      <c r="D2171">
        <v>23</v>
      </c>
      <c r="E2171">
        <f>WEEKNUM(Append321[[#This Row],[Date]])</f>
        <v>23</v>
      </c>
    </row>
    <row r="2172" spans="1:5">
      <c r="A2172" t="s">
        <v>111</v>
      </c>
      <c r="B2172" t="s">
        <v>101</v>
      </c>
      <c r="C2172" s="5">
        <v>45446</v>
      </c>
      <c r="D2172">
        <v>12</v>
      </c>
      <c r="E2172">
        <f>WEEKNUM(Append321[[#This Row],[Date]])</f>
        <v>23</v>
      </c>
    </row>
    <row r="2173" spans="1:5">
      <c r="A2173" t="s">
        <v>111</v>
      </c>
      <c r="B2173" t="s">
        <v>101</v>
      </c>
      <c r="C2173" s="5">
        <v>45447</v>
      </c>
      <c r="D2173">
        <v>14</v>
      </c>
      <c r="E2173">
        <f>WEEKNUM(Append321[[#This Row],[Date]])</f>
        <v>23</v>
      </c>
    </row>
    <row r="2174" spans="1:5">
      <c r="A2174" t="s">
        <v>111</v>
      </c>
      <c r="B2174" t="s">
        <v>101</v>
      </c>
      <c r="C2174" s="5">
        <v>45448</v>
      </c>
      <c r="D2174">
        <v>30</v>
      </c>
      <c r="E2174">
        <f>WEEKNUM(Append321[[#This Row],[Date]])</f>
        <v>23</v>
      </c>
    </row>
    <row r="2175" spans="1:5">
      <c r="A2175" t="s">
        <v>111</v>
      </c>
      <c r="B2175" t="s">
        <v>101</v>
      </c>
      <c r="C2175" s="5">
        <v>45449</v>
      </c>
      <c r="D2175">
        <v>29</v>
      </c>
      <c r="E2175">
        <f>WEEKNUM(Append321[[#This Row],[Date]])</f>
        <v>23</v>
      </c>
    </row>
    <row r="2176" spans="1:5">
      <c r="A2176" t="s">
        <v>111</v>
      </c>
      <c r="B2176" t="s">
        <v>101</v>
      </c>
      <c r="C2176" s="5">
        <v>45450</v>
      </c>
      <c r="D2176">
        <v>32</v>
      </c>
      <c r="E2176">
        <f>WEEKNUM(Append321[[#This Row],[Date]])</f>
        <v>23</v>
      </c>
    </row>
    <row r="2177" spans="1:5">
      <c r="A2177" t="s">
        <v>111</v>
      </c>
      <c r="B2177" t="s">
        <v>101</v>
      </c>
      <c r="C2177" s="5">
        <v>45451</v>
      </c>
      <c r="D2177">
        <v>46</v>
      </c>
      <c r="E2177">
        <f>WEEKNUM(Append321[[#This Row],[Date]])</f>
        <v>23</v>
      </c>
    </row>
    <row r="2178" spans="1:5">
      <c r="A2178" t="s">
        <v>111</v>
      </c>
      <c r="B2178" t="s">
        <v>101</v>
      </c>
      <c r="C2178" s="5">
        <v>45452</v>
      </c>
      <c r="D2178">
        <v>31</v>
      </c>
      <c r="E2178">
        <f>WEEKNUM(Append321[[#This Row],[Date]])</f>
        <v>24</v>
      </c>
    </row>
    <row r="2179" spans="1:5">
      <c r="A2179" t="s">
        <v>111</v>
      </c>
      <c r="B2179" t="s">
        <v>101</v>
      </c>
      <c r="C2179" s="5">
        <v>45453</v>
      </c>
      <c r="D2179">
        <v>27</v>
      </c>
      <c r="E2179">
        <f>WEEKNUM(Append321[[#This Row],[Date]])</f>
        <v>24</v>
      </c>
    </row>
    <row r="2180" spans="1:5">
      <c r="A2180" t="s">
        <v>111</v>
      </c>
      <c r="B2180" t="s">
        <v>101</v>
      </c>
      <c r="C2180" s="5">
        <v>45454</v>
      </c>
      <c r="D2180">
        <v>34</v>
      </c>
      <c r="E2180">
        <f>WEEKNUM(Append321[[#This Row],[Date]])</f>
        <v>24</v>
      </c>
    </row>
    <row r="2181" spans="1:5">
      <c r="A2181" t="s">
        <v>111</v>
      </c>
      <c r="B2181" t="s">
        <v>101</v>
      </c>
      <c r="C2181" s="5">
        <v>45455</v>
      </c>
      <c r="D2181">
        <v>32</v>
      </c>
      <c r="E2181">
        <f>WEEKNUM(Append321[[#This Row],[Date]])</f>
        <v>24</v>
      </c>
    </row>
    <row r="2182" spans="1:5">
      <c r="A2182" t="s">
        <v>111</v>
      </c>
      <c r="B2182" t="s">
        <v>101</v>
      </c>
      <c r="C2182" s="5">
        <v>45456</v>
      </c>
      <c r="D2182">
        <v>26</v>
      </c>
      <c r="E2182">
        <f>WEEKNUM(Append321[[#This Row],[Date]])</f>
        <v>24</v>
      </c>
    </row>
    <row r="2183" spans="1:5">
      <c r="A2183" t="s">
        <v>111</v>
      </c>
      <c r="B2183" t="s">
        <v>101</v>
      </c>
      <c r="C2183" s="5">
        <v>45457</v>
      </c>
      <c r="D2183">
        <v>32</v>
      </c>
      <c r="E2183">
        <f>WEEKNUM(Append321[[#This Row],[Date]])</f>
        <v>24</v>
      </c>
    </row>
    <row r="2184" spans="1:5">
      <c r="A2184" t="s">
        <v>111</v>
      </c>
      <c r="B2184" t="s">
        <v>101</v>
      </c>
      <c r="C2184" s="5">
        <v>45458</v>
      </c>
      <c r="D2184">
        <v>44</v>
      </c>
      <c r="E2184">
        <f>WEEKNUM(Append321[[#This Row],[Date]])</f>
        <v>24</v>
      </c>
    </row>
    <row r="2185" spans="1:5">
      <c r="A2185" t="s">
        <v>111</v>
      </c>
      <c r="B2185" t="s">
        <v>101</v>
      </c>
      <c r="C2185" s="5">
        <v>45459</v>
      </c>
      <c r="D2185">
        <v>26</v>
      </c>
      <c r="E2185">
        <f>WEEKNUM(Append321[[#This Row],[Date]])</f>
        <v>25</v>
      </c>
    </row>
    <row r="2186" spans="1:5">
      <c r="A2186" t="s">
        <v>111</v>
      </c>
      <c r="B2186" t="s">
        <v>101</v>
      </c>
      <c r="C2186" s="5">
        <v>45460</v>
      </c>
      <c r="D2186">
        <v>40</v>
      </c>
      <c r="E2186">
        <f>WEEKNUM(Append321[[#This Row],[Date]])</f>
        <v>25</v>
      </c>
    </row>
    <row r="2187" spans="1:5">
      <c r="A2187" t="s">
        <v>111</v>
      </c>
      <c r="B2187" t="s">
        <v>101</v>
      </c>
      <c r="C2187" s="5">
        <v>45461</v>
      </c>
      <c r="D2187">
        <v>32</v>
      </c>
      <c r="E2187">
        <f>WEEKNUM(Append321[[#This Row],[Date]])</f>
        <v>25</v>
      </c>
    </row>
    <row r="2188" spans="1:5">
      <c r="A2188" t="s">
        <v>111</v>
      </c>
      <c r="B2188" t="s">
        <v>101</v>
      </c>
      <c r="C2188" s="5">
        <v>45462</v>
      </c>
      <c r="D2188">
        <v>27</v>
      </c>
      <c r="E2188">
        <f>WEEKNUM(Append321[[#This Row],[Date]])</f>
        <v>25</v>
      </c>
    </row>
    <row r="2189" spans="1:5">
      <c r="A2189" t="s">
        <v>111</v>
      </c>
      <c r="B2189" t="s">
        <v>101</v>
      </c>
      <c r="C2189" s="5">
        <v>45463</v>
      </c>
      <c r="D2189">
        <v>35</v>
      </c>
      <c r="E2189">
        <f>WEEKNUM(Append321[[#This Row],[Date]])</f>
        <v>25</v>
      </c>
    </row>
    <row r="2190" spans="1:5">
      <c r="A2190" t="s">
        <v>111</v>
      </c>
      <c r="B2190" t="s">
        <v>101</v>
      </c>
      <c r="C2190" s="5">
        <v>45464</v>
      </c>
      <c r="D2190">
        <v>30</v>
      </c>
      <c r="E2190">
        <f>WEEKNUM(Append321[[#This Row],[Date]])</f>
        <v>25</v>
      </c>
    </row>
    <row r="2191" spans="1:5">
      <c r="A2191" t="s">
        <v>111</v>
      </c>
      <c r="B2191" t="s">
        <v>101</v>
      </c>
      <c r="C2191" s="5">
        <v>45465</v>
      </c>
      <c r="D2191">
        <v>49</v>
      </c>
      <c r="E2191">
        <f>WEEKNUM(Append321[[#This Row],[Date]])</f>
        <v>25</v>
      </c>
    </row>
    <row r="2192" spans="1:5">
      <c r="A2192" t="s">
        <v>111</v>
      </c>
      <c r="B2192" t="s">
        <v>101</v>
      </c>
      <c r="C2192" s="5">
        <v>45466</v>
      </c>
      <c r="D2192">
        <v>29</v>
      </c>
      <c r="E2192">
        <f>WEEKNUM(Append321[[#This Row],[Date]])</f>
        <v>26</v>
      </c>
    </row>
    <row r="2193" spans="1:5">
      <c r="A2193" t="s">
        <v>111</v>
      </c>
      <c r="B2193" t="s">
        <v>101</v>
      </c>
      <c r="C2193" s="5">
        <v>45467</v>
      </c>
      <c r="D2193">
        <v>29</v>
      </c>
      <c r="E2193">
        <f>WEEKNUM(Append321[[#This Row],[Date]])</f>
        <v>26</v>
      </c>
    </row>
    <row r="2194" spans="1:5">
      <c r="A2194" t="s">
        <v>111</v>
      </c>
      <c r="B2194" t="s">
        <v>101</v>
      </c>
      <c r="C2194" s="5">
        <v>45468</v>
      </c>
      <c r="D2194">
        <v>35</v>
      </c>
      <c r="E2194">
        <f>WEEKNUM(Append321[[#This Row],[Date]])</f>
        <v>26</v>
      </c>
    </row>
    <row r="2195" spans="1:5">
      <c r="A2195" t="s">
        <v>111</v>
      </c>
      <c r="B2195" t="s">
        <v>101</v>
      </c>
      <c r="C2195" s="5">
        <v>45469</v>
      </c>
      <c r="D2195">
        <v>20</v>
      </c>
      <c r="E2195">
        <f>WEEKNUM(Append321[[#This Row],[Date]])</f>
        <v>26</v>
      </c>
    </row>
    <row r="2196" spans="1:5">
      <c r="A2196" t="s">
        <v>111</v>
      </c>
      <c r="B2196" t="s">
        <v>101</v>
      </c>
      <c r="C2196" s="5">
        <v>45470</v>
      </c>
      <c r="D2196">
        <v>26</v>
      </c>
      <c r="E2196">
        <f>WEEKNUM(Append321[[#This Row],[Date]])</f>
        <v>26</v>
      </c>
    </row>
    <row r="2197" spans="1:5">
      <c r="A2197" t="s">
        <v>111</v>
      </c>
      <c r="B2197" t="s">
        <v>101</v>
      </c>
      <c r="C2197" s="5">
        <v>45471</v>
      </c>
      <c r="D2197">
        <v>31</v>
      </c>
      <c r="E2197">
        <f>WEEKNUM(Append321[[#This Row],[Date]])</f>
        <v>26</v>
      </c>
    </row>
    <row r="2198" spans="1:5">
      <c r="A2198" t="s">
        <v>111</v>
      </c>
      <c r="B2198" t="s">
        <v>101</v>
      </c>
      <c r="C2198" s="5">
        <v>45472</v>
      </c>
      <c r="D2198">
        <v>31</v>
      </c>
      <c r="E2198">
        <f>WEEKNUM(Append321[[#This Row],[Date]])</f>
        <v>26</v>
      </c>
    </row>
    <row r="2199" spans="1:5">
      <c r="A2199" t="s">
        <v>111</v>
      </c>
      <c r="B2199" t="s">
        <v>101</v>
      </c>
      <c r="C2199" s="5">
        <v>45473</v>
      </c>
      <c r="D2199">
        <v>40</v>
      </c>
      <c r="E2199">
        <f>WEEKNUM(Append321[[#This Row],[Date]])</f>
        <v>27</v>
      </c>
    </row>
    <row r="2200" spans="1:5">
      <c r="A2200" t="s">
        <v>111</v>
      </c>
      <c r="B2200" t="s">
        <v>101</v>
      </c>
      <c r="C2200" s="5">
        <v>45474</v>
      </c>
      <c r="D2200">
        <v>34</v>
      </c>
      <c r="E2200">
        <f>WEEKNUM(Append321[[#This Row],[Date]])</f>
        <v>27</v>
      </c>
    </row>
    <row r="2201" spans="1:5">
      <c r="A2201" t="s">
        <v>111</v>
      </c>
      <c r="B2201" t="s">
        <v>101</v>
      </c>
      <c r="C2201" s="5">
        <v>45475</v>
      </c>
      <c r="D2201">
        <v>35</v>
      </c>
      <c r="E2201">
        <f>WEEKNUM(Append321[[#This Row],[Date]])</f>
        <v>27</v>
      </c>
    </row>
    <row r="2202" spans="1:5">
      <c r="A2202" t="s">
        <v>111</v>
      </c>
      <c r="B2202" t="s">
        <v>101</v>
      </c>
      <c r="C2202" s="5">
        <v>45476</v>
      </c>
      <c r="D2202">
        <v>29</v>
      </c>
      <c r="E2202">
        <f>WEEKNUM(Append321[[#This Row],[Date]])</f>
        <v>27</v>
      </c>
    </row>
    <row r="2203" spans="1:5">
      <c r="A2203" t="s">
        <v>111</v>
      </c>
      <c r="B2203" t="s">
        <v>101</v>
      </c>
      <c r="C2203" s="5">
        <v>45477</v>
      </c>
      <c r="D2203">
        <v>25</v>
      </c>
      <c r="E2203">
        <f>WEEKNUM(Append321[[#This Row],[Date]])</f>
        <v>27</v>
      </c>
    </row>
    <row r="2204" spans="1:5">
      <c r="A2204" t="s">
        <v>111</v>
      </c>
      <c r="B2204" t="s">
        <v>101</v>
      </c>
      <c r="C2204" s="5">
        <v>45478</v>
      </c>
      <c r="D2204">
        <v>37</v>
      </c>
      <c r="E2204">
        <f>WEEKNUM(Append321[[#This Row],[Date]])</f>
        <v>27</v>
      </c>
    </row>
    <row r="2205" spans="1:5">
      <c r="A2205" t="s">
        <v>111</v>
      </c>
      <c r="B2205" t="s">
        <v>101</v>
      </c>
      <c r="C2205" s="5">
        <v>45479</v>
      </c>
      <c r="D2205">
        <v>61</v>
      </c>
      <c r="E2205">
        <f>WEEKNUM(Append321[[#This Row],[Date]])</f>
        <v>27</v>
      </c>
    </row>
    <row r="2206" spans="1:5">
      <c r="A2206" t="s">
        <v>111</v>
      </c>
      <c r="B2206" t="s">
        <v>101</v>
      </c>
      <c r="C2206" s="5">
        <v>45480</v>
      </c>
      <c r="D2206">
        <v>37</v>
      </c>
      <c r="E2206">
        <f>WEEKNUM(Append321[[#This Row],[Date]])</f>
        <v>28</v>
      </c>
    </row>
    <row r="2207" spans="1:5">
      <c r="A2207" t="s">
        <v>111</v>
      </c>
      <c r="B2207" t="s">
        <v>101</v>
      </c>
      <c r="C2207" s="5">
        <v>45481</v>
      </c>
      <c r="D2207">
        <v>37</v>
      </c>
      <c r="E2207">
        <f>WEEKNUM(Append321[[#This Row],[Date]])</f>
        <v>28</v>
      </c>
    </row>
    <row r="2208" spans="1:5">
      <c r="A2208" t="s">
        <v>111</v>
      </c>
      <c r="B2208" t="s">
        <v>101</v>
      </c>
      <c r="C2208" s="5">
        <v>45482</v>
      </c>
      <c r="D2208">
        <v>41</v>
      </c>
      <c r="E2208">
        <f>WEEKNUM(Append321[[#This Row],[Date]])</f>
        <v>28</v>
      </c>
    </row>
    <row r="2209" spans="1:5">
      <c r="A2209" t="s">
        <v>111</v>
      </c>
      <c r="B2209" t="s">
        <v>101</v>
      </c>
      <c r="C2209" s="5">
        <v>45483</v>
      </c>
      <c r="D2209">
        <v>42</v>
      </c>
      <c r="E2209">
        <f>WEEKNUM(Append321[[#This Row],[Date]])</f>
        <v>28</v>
      </c>
    </row>
    <row r="2210" spans="1:5">
      <c r="A2210" t="s">
        <v>111</v>
      </c>
      <c r="B2210" t="s">
        <v>101</v>
      </c>
      <c r="C2210" s="5">
        <v>45484</v>
      </c>
      <c r="D2210">
        <v>33</v>
      </c>
      <c r="E2210">
        <f>WEEKNUM(Append321[[#This Row],[Date]])</f>
        <v>28</v>
      </c>
    </row>
    <row r="2211" spans="1:5">
      <c r="A2211" t="s">
        <v>111</v>
      </c>
      <c r="B2211" t="s">
        <v>101</v>
      </c>
      <c r="C2211" s="5">
        <v>45485</v>
      </c>
      <c r="D2211">
        <v>44</v>
      </c>
      <c r="E2211">
        <f>WEEKNUM(Append321[[#This Row],[Date]])</f>
        <v>28</v>
      </c>
    </row>
    <row r="2212" spans="1:5">
      <c r="A2212" t="s">
        <v>111</v>
      </c>
      <c r="B2212" t="s">
        <v>101</v>
      </c>
      <c r="C2212" s="5">
        <v>45486</v>
      </c>
      <c r="D2212">
        <v>43</v>
      </c>
      <c r="E2212">
        <f>WEEKNUM(Append321[[#This Row],[Date]])</f>
        <v>28</v>
      </c>
    </row>
    <row r="2213" spans="1:5">
      <c r="A2213" t="s">
        <v>111</v>
      </c>
      <c r="B2213" t="s">
        <v>101</v>
      </c>
      <c r="C2213" s="5">
        <v>45487</v>
      </c>
      <c r="D2213">
        <v>31</v>
      </c>
      <c r="E2213">
        <f>WEEKNUM(Append321[[#This Row],[Date]])</f>
        <v>29</v>
      </c>
    </row>
    <row r="2214" spans="1:5">
      <c r="A2214" t="s">
        <v>111</v>
      </c>
      <c r="B2214" t="s">
        <v>101</v>
      </c>
      <c r="C2214" s="5">
        <v>45488</v>
      </c>
      <c r="D2214">
        <v>41</v>
      </c>
      <c r="E2214">
        <f>WEEKNUM(Append321[[#This Row],[Date]])</f>
        <v>29</v>
      </c>
    </row>
    <row r="2215" spans="1:5">
      <c r="A2215" t="s">
        <v>111</v>
      </c>
      <c r="B2215" t="s">
        <v>101</v>
      </c>
      <c r="C2215" s="5">
        <v>45489</v>
      </c>
      <c r="D2215">
        <v>28</v>
      </c>
      <c r="E2215">
        <f>WEEKNUM(Append321[[#This Row],[Date]])</f>
        <v>29</v>
      </c>
    </row>
    <row r="2216" spans="1:5">
      <c r="A2216" t="s">
        <v>111</v>
      </c>
      <c r="B2216" t="s">
        <v>101</v>
      </c>
      <c r="C2216" s="5">
        <v>45490</v>
      </c>
      <c r="D2216">
        <v>33</v>
      </c>
      <c r="E2216">
        <f>WEEKNUM(Append321[[#This Row],[Date]])</f>
        <v>29</v>
      </c>
    </row>
    <row r="2217" spans="1:5">
      <c r="A2217" t="s">
        <v>111</v>
      </c>
      <c r="B2217" t="s">
        <v>101</v>
      </c>
      <c r="C2217" s="5">
        <v>45491</v>
      </c>
      <c r="D2217">
        <v>31</v>
      </c>
      <c r="E2217">
        <f>WEEKNUM(Append321[[#This Row],[Date]])</f>
        <v>29</v>
      </c>
    </row>
    <row r="2218" spans="1:5">
      <c r="A2218" t="s">
        <v>111</v>
      </c>
      <c r="B2218" t="s">
        <v>101</v>
      </c>
      <c r="C2218" s="5">
        <v>45492</v>
      </c>
      <c r="D2218">
        <v>41</v>
      </c>
      <c r="E2218">
        <f>WEEKNUM(Append321[[#This Row],[Date]])</f>
        <v>29</v>
      </c>
    </row>
    <row r="2219" spans="1:5">
      <c r="A2219" t="s">
        <v>111</v>
      </c>
      <c r="B2219" t="s">
        <v>101</v>
      </c>
      <c r="C2219" s="5">
        <v>45493</v>
      </c>
      <c r="D2219">
        <v>62</v>
      </c>
      <c r="E2219">
        <f>WEEKNUM(Append321[[#This Row],[Date]])</f>
        <v>29</v>
      </c>
    </row>
    <row r="2220" spans="1:5">
      <c r="A2220" t="s">
        <v>111</v>
      </c>
      <c r="B2220" t="s">
        <v>101</v>
      </c>
      <c r="C2220" s="5">
        <v>45494</v>
      </c>
      <c r="D2220">
        <v>47</v>
      </c>
      <c r="E2220">
        <f>WEEKNUM(Append321[[#This Row],[Date]])</f>
        <v>30</v>
      </c>
    </row>
    <row r="2221" spans="1:5">
      <c r="A2221" t="s">
        <v>111</v>
      </c>
      <c r="B2221" t="s">
        <v>101</v>
      </c>
      <c r="C2221" s="5">
        <v>45495</v>
      </c>
      <c r="D2221">
        <v>45</v>
      </c>
      <c r="E2221">
        <f>WEEKNUM(Append321[[#This Row],[Date]])</f>
        <v>30</v>
      </c>
    </row>
    <row r="2222" spans="1:5">
      <c r="A2222" t="s">
        <v>111</v>
      </c>
      <c r="B2222" t="s">
        <v>101</v>
      </c>
      <c r="C2222" s="5">
        <v>45496</v>
      </c>
      <c r="D2222">
        <v>48</v>
      </c>
      <c r="E2222">
        <f>WEEKNUM(Append321[[#This Row],[Date]])</f>
        <v>30</v>
      </c>
    </row>
    <row r="2223" spans="1:5">
      <c r="A2223" t="s">
        <v>111</v>
      </c>
      <c r="B2223" t="s">
        <v>101</v>
      </c>
      <c r="C2223" s="5">
        <v>45497</v>
      </c>
      <c r="D2223">
        <v>51</v>
      </c>
      <c r="E2223">
        <f>WEEKNUM(Append321[[#This Row],[Date]])</f>
        <v>30</v>
      </c>
    </row>
    <row r="2224" spans="1:5">
      <c r="A2224" t="s">
        <v>111</v>
      </c>
      <c r="B2224" t="s">
        <v>101</v>
      </c>
      <c r="C2224" s="5">
        <v>45498</v>
      </c>
      <c r="D2224">
        <v>45</v>
      </c>
      <c r="E2224">
        <f>WEEKNUM(Append321[[#This Row],[Date]])</f>
        <v>30</v>
      </c>
    </row>
    <row r="2225" spans="1:5">
      <c r="A2225" t="s">
        <v>111</v>
      </c>
      <c r="B2225" t="s">
        <v>101</v>
      </c>
      <c r="C2225" s="5">
        <v>45499</v>
      </c>
      <c r="D2225">
        <v>48</v>
      </c>
      <c r="E2225">
        <f>WEEKNUM(Append321[[#This Row],[Date]])</f>
        <v>30</v>
      </c>
    </row>
    <row r="2226" spans="1:5">
      <c r="A2226" t="s">
        <v>111</v>
      </c>
      <c r="B2226" t="s">
        <v>101</v>
      </c>
      <c r="C2226" s="5">
        <v>45500</v>
      </c>
      <c r="D2226">
        <v>41</v>
      </c>
      <c r="E2226">
        <f>WEEKNUM(Append321[[#This Row],[Date]])</f>
        <v>30</v>
      </c>
    </row>
    <row r="2227" spans="1:5">
      <c r="A2227" t="s">
        <v>111</v>
      </c>
      <c r="B2227" t="s">
        <v>101</v>
      </c>
      <c r="C2227" s="5">
        <v>45501</v>
      </c>
      <c r="D2227">
        <v>39</v>
      </c>
      <c r="E2227">
        <f>WEEKNUM(Append321[[#This Row],[Date]])</f>
        <v>31</v>
      </c>
    </row>
    <row r="2228" spans="1:5">
      <c r="A2228" t="s">
        <v>111</v>
      </c>
      <c r="B2228" t="s">
        <v>101</v>
      </c>
      <c r="C2228" s="5">
        <v>45502</v>
      </c>
      <c r="D2228">
        <v>27</v>
      </c>
      <c r="E2228">
        <f>WEEKNUM(Append321[[#This Row],[Date]])</f>
        <v>31</v>
      </c>
    </row>
    <row r="2229" spans="1:5">
      <c r="A2229" t="s">
        <v>111</v>
      </c>
      <c r="B2229" t="s">
        <v>101</v>
      </c>
      <c r="C2229" s="5">
        <v>45503</v>
      </c>
      <c r="D2229">
        <v>34</v>
      </c>
      <c r="E2229">
        <f>WEEKNUM(Append321[[#This Row],[Date]])</f>
        <v>31</v>
      </c>
    </row>
    <row r="2230" spans="1:5">
      <c r="A2230" t="s">
        <v>111</v>
      </c>
      <c r="B2230" t="s">
        <v>101</v>
      </c>
      <c r="C2230" s="5">
        <v>45504</v>
      </c>
      <c r="D2230">
        <v>40</v>
      </c>
      <c r="E2230">
        <f>WEEKNUM(Append321[[#This Row],[Date]])</f>
        <v>31</v>
      </c>
    </row>
    <row r="2231" spans="1:5">
      <c r="A2231" t="s">
        <v>111</v>
      </c>
      <c r="B2231" t="s">
        <v>101</v>
      </c>
      <c r="C2231" s="5">
        <v>45505</v>
      </c>
      <c r="D2231">
        <v>40</v>
      </c>
      <c r="E2231">
        <f>WEEKNUM(Append321[[#This Row],[Date]])</f>
        <v>31</v>
      </c>
    </row>
    <row r="2232" spans="1:5">
      <c r="A2232" t="s">
        <v>111</v>
      </c>
      <c r="B2232" t="s">
        <v>101</v>
      </c>
      <c r="C2232" s="5">
        <v>45506</v>
      </c>
      <c r="D2232">
        <v>41</v>
      </c>
      <c r="E2232">
        <f>WEEKNUM(Append321[[#This Row],[Date]])</f>
        <v>31</v>
      </c>
    </row>
    <row r="2233" spans="1:5">
      <c r="A2233" t="s">
        <v>111</v>
      </c>
      <c r="B2233" t="s">
        <v>101</v>
      </c>
      <c r="C2233" s="5">
        <v>45507</v>
      </c>
      <c r="D2233">
        <v>37</v>
      </c>
      <c r="E2233">
        <f>WEEKNUM(Append321[[#This Row],[Date]])</f>
        <v>31</v>
      </c>
    </row>
    <row r="2234" spans="1:5">
      <c r="A2234" t="s">
        <v>111</v>
      </c>
      <c r="B2234" t="s">
        <v>101</v>
      </c>
      <c r="C2234" s="5">
        <v>45508</v>
      </c>
      <c r="D2234">
        <v>35</v>
      </c>
      <c r="E2234">
        <f>WEEKNUM(Append321[[#This Row],[Date]])</f>
        <v>32</v>
      </c>
    </row>
    <row r="2235" spans="1:5">
      <c r="A2235" t="s">
        <v>111</v>
      </c>
      <c r="B2235" t="s">
        <v>101</v>
      </c>
      <c r="C2235" s="5">
        <v>45509</v>
      </c>
      <c r="D2235">
        <v>50</v>
      </c>
      <c r="E2235">
        <f>WEEKNUM(Append321[[#This Row],[Date]])</f>
        <v>32</v>
      </c>
    </row>
    <row r="2236" spans="1:5">
      <c r="A2236" t="s">
        <v>111</v>
      </c>
      <c r="B2236" t="s">
        <v>101</v>
      </c>
      <c r="C2236" s="5">
        <v>45510</v>
      </c>
      <c r="D2236">
        <v>32</v>
      </c>
      <c r="E2236">
        <f>WEEKNUM(Append321[[#This Row],[Date]])</f>
        <v>32</v>
      </c>
    </row>
    <row r="2237" spans="1:5">
      <c r="A2237" t="s">
        <v>111</v>
      </c>
      <c r="B2237" t="s">
        <v>101</v>
      </c>
      <c r="C2237" s="5">
        <v>45511</v>
      </c>
      <c r="D2237">
        <v>34</v>
      </c>
      <c r="E2237">
        <f>WEEKNUM(Append321[[#This Row],[Date]])</f>
        <v>32</v>
      </c>
    </row>
    <row r="2238" spans="1:5">
      <c r="A2238" t="s">
        <v>111</v>
      </c>
      <c r="B2238" t="s">
        <v>101</v>
      </c>
      <c r="C2238" s="5">
        <v>45512</v>
      </c>
      <c r="D2238">
        <v>33</v>
      </c>
      <c r="E2238">
        <f>WEEKNUM(Append321[[#This Row],[Date]])</f>
        <v>32</v>
      </c>
    </row>
    <row r="2239" spans="1:5">
      <c r="A2239" t="s">
        <v>111</v>
      </c>
      <c r="B2239" t="s">
        <v>101</v>
      </c>
      <c r="C2239" s="5">
        <v>45513</v>
      </c>
      <c r="D2239">
        <v>31</v>
      </c>
      <c r="E2239">
        <f>WEEKNUM(Append321[[#This Row],[Date]])</f>
        <v>32</v>
      </c>
    </row>
    <row r="2240" spans="1:5">
      <c r="A2240" t="s">
        <v>111</v>
      </c>
      <c r="B2240" t="s">
        <v>101</v>
      </c>
      <c r="C2240" s="5">
        <v>45514</v>
      </c>
      <c r="D2240">
        <v>33</v>
      </c>
      <c r="E2240">
        <f>WEEKNUM(Append321[[#This Row],[Date]])</f>
        <v>32</v>
      </c>
    </row>
    <row r="2241" spans="1:5">
      <c r="A2241" t="s">
        <v>111</v>
      </c>
      <c r="B2241" t="s">
        <v>101</v>
      </c>
      <c r="C2241" s="5">
        <v>45515</v>
      </c>
      <c r="D2241">
        <v>30</v>
      </c>
      <c r="E2241">
        <f>WEEKNUM(Append321[[#This Row],[Date]])</f>
        <v>33</v>
      </c>
    </row>
    <row r="2242" spans="1:5">
      <c r="A2242" t="s">
        <v>111</v>
      </c>
      <c r="B2242" t="s">
        <v>101</v>
      </c>
      <c r="C2242" s="5">
        <v>45516</v>
      </c>
      <c r="D2242">
        <v>41</v>
      </c>
      <c r="E2242">
        <f>WEEKNUM(Append321[[#This Row],[Date]])</f>
        <v>33</v>
      </c>
    </row>
    <row r="2243" spans="1:5">
      <c r="A2243" t="s">
        <v>111</v>
      </c>
      <c r="B2243" t="s">
        <v>101</v>
      </c>
      <c r="C2243" s="5">
        <v>45517</v>
      </c>
      <c r="D2243">
        <v>53</v>
      </c>
      <c r="E2243">
        <f>WEEKNUM(Append321[[#This Row],[Date]])</f>
        <v>33</v>
      </c>
    </row>
    <row r="2244" spans="1:5">
      <c r="A2244" t="s">
        <v>111</v>
      </c>
      <c r="B2244" t="s">
        <v>101</v>
      </c>
      <c r="C2244" s="5">
        <v>45518</v>
      </c>
      <c r="D2244">
        <v>64</v>
      </c>
      <c r="E2244">
        <f>WEEKNUM(Append321[[#This Row],[Date]])</f>
        <v>33</v>
      </c>
    </row>
    <row r="2245" spans="1:5">
      <c r="A2245" t="s">
        <v>111</v>
      </c>
      <c r="B2245" t="s">
        <v>101</v>
      </c>
      <c r="C2245" s="5">
        <v>45519</v>
      </c>
      <c r="D2245">
        <v>36</v>
      </c>
      <c r="E2245">
        <f>WEEKNUM(Append321[[#This Row],[Date]])</f>
        <v>33</v>
      </c>
    </row>
    <row r="2246" spans="1:5">
      <c r="A2246" t="s">
        <v>111</v>
      </c>
      <c r="B2246" t="s">
        <v>101</v>
      </c>
      <c r="C2246" s="5">
        <v>45520</v>
      </c>
      <c r="D2246">
        <v>24</v>
      </c>
      <c r="E2246">
        <f>WEEKNUM(Append321[[#This Row],[Date]])</f>
        <v>33</v>
      </c>
    </row>
    <row r="2247" spans="1:5">
      <c r="A2247" t="s">
        <v>111</v>
      </c>
      <c r="B2247" t="s">
        <v>101</v>
      </c>
      <c r="C2247" s="5">
        <v>45521</v>
      </c>
      <c r="D2247">
        <v>34</v>
      </c>
      <c r="E2247">
        <f>WEEKNUM(Append321[[#This Row],[Date]])</f>
        <v>33</v>
      </c>
    </row>
    <row r="2248" spans="1:5">
      <c r="A2248" t="s">
        <v>111</v>
      </c>
      <c r="B2248" t="s">
        <v>101</v>
      </c>
      <c r="C2248" s="5">
        <v>45522</v>
      </c>
      <c r="D2248">
        <v>36</v>
      </c>
      <c r="E2248">
        <f>WEEKNUM(Append321[[#This Row],[Date]])</f>
        <v>34</v>
      </c>
    </row>
    <row r="2249" spans="1:5">
      <c r="A2249" t="s">
        <v>111</v>
      </c>
      <c r="B2249" t="s">
        <v>101</v>
      </c>
      <c r="C2249" s="5">
        <v>45523</v>
      </c>
      <c r="D2249">
        <v>33</v>
      </c>
      <c r="E2249">
        <f>WEEKNUM(Append321[[#This Row],[Date]])</f>
        <v>34</v>
      </c>
    </row>
    <row r="2250" spans="1:5">
      <c r="A2250" t="s">
        <v>111</v>
      </c>
      <c r="B2250" t="s">
        <v>101</v>
      </c>
      <c r="C2250" s="5">
        <v>45524</v>
      </c>
      <c r="D2250">
        <v>42</v>
      </c>
      <c r="E2250">
        <f>WEEKNUM(Append321[[#This Row],[Date]])</f>
        <v>34</v>
      </c>
    </row>
    <row r="2251" spans="1:5">
      <c r="A2251" t="s">
        <v>111</v>
      </c>
      <c r="B2251" t="s">
        <v>101</v>
      </c>
      <c r="C2251" s="5">
        <v>45525</v>
      </c>
      <c r="D2251">
        <v>46</v>
      </c>
      <c r="E2251">
        <f>WEEKNUM(Append321[[#This Row],[Date]])</f>
        <v>34</v>
      </c>
    </row>
    <row r="2252" spans="1:5">
      <c r="A2252" t="s">
        <v>111</v>
      </c>
      <c r="B2252" t="s">
        <v>101</v>
      </c>
      <c r="C2252" s="5">
        <v>45526</v>
      </c>
      <c r="D2252">
        <v>24</v>
      </c>
      <c r="E2252">
        <f>WEEKNUM(Append321[[#This Row],[Date]])</f>
        <v>34</v>
      </c>
    </row>
    <row r="2253" spans="1:5">
      <c r="A2253" t="s">
        <v>111</v>
      </c>
      <c r="B2253" t="s">
        <v>101</v>
      </c>
      <c r="C2253" s="5">
        <v>45527</v>
      </c>
      <c r="D2253">
        <v>46</v>
      </c>
      <c r="E2253">
        <f>WEEKNUM(Append321[[#This Row],[Date]])</f>
        <v>34</v>
      </c>
    </row>
    <row r="2254" spans="1:5">
      <c r="A2254" t="s">
        <v>111</v>
      </c>
      <c r="B2254" t="s">
        <v>101</v>
      </c>
      <c r="C2254" s="5">
        <v>45528</v>
      </c>
      <c r="D2254">
        <v>47</v>
      </c>
      <c r="E2254">
        <f>WEEKNUM(Append321[[#This Row],[Date]])</f>
        <v>34</v>
      </c>
    </row>
    <row r="2255" spans="1:5">
      <c r="A2255" t="s">
        <v>111</v>
      </c>
      <c r="B2255" t="s">
        <v>101</v>
      </c>
      <c r="C2255" s="5">
        <v>45529</v>
      </c>
      <c r="D2255">
        <v>31</v>
      </c>
      <c r="E2255">
        <f>WEEKNUM(Append321[[#This Row],[Date]])</f>
        <v>35</v>
      </c>
    </row>
    <row r="2256" spans="1:5">
      <c r="A2256" t="s">
        <v>111</v>
      </c>
      <c r="B2256" t="s">
        <v>101</v>
      </c>
      <c r="C2256" s="5">
        <v>45530</v>
      </c>
      <c r="D2256">
        <v>37</v>
      </c>
      <c r="E2256">
        <f>WEEKNUM(Append321[[#This Row],[Date]])</f>
        <v>35</v>
      </c>
    </row>
    <row r="2257" spans="1:5">
      <c r="A2257" t="s">
        <v>111</v>
      </c>
      <c r="B2257" t="s">
        <v>101</v>
      </c>
      <c r="C2257" s="5">
        <v>45531</v>
      </c>
      <c r="D2257">
        <v>40</v>
      </c>
      <c r="E2257">
        <f>WEEKNUM(Append321[[#This Row],[Date]])</f>
        <v>35</v>
      </c>
    </row>
    <row r="2258" spans="1:5">
      <c r="A2258" t="s">
        <v>111</v>
      </c>
      <c r="B2258" t="s">
        <v>101</v>
      </c>
      <c r="C2258" s="5">
        <v>45532</v>
      </c>
      <c r="D2258">
        <v>21</v>
      </c>
      <c r="E2258">
        <f>WEEKNUM(Append321[[#This Row],[Date]])</f>
        <v>35</v>
      </c>
    </row>
    <row r="2259" spans="1:5">
      <c r="A2259" t="s">
        <v>111</v>
      </c>
      <c r="B2259" t="s">
        <v>101</v>
      </c>
      <c r="C2259" s="5">
        <v>45533</v>
      </c>
      <c r="D2259">
        <v>22</v>
      </c>
      <c r="E2259">
        <f>WEEKNUM(Append321[[#This Row],[Date]])</f>
        <v>35</v>
      </c>
    </row>
    <row r="2260" spans="1:5">
      <c r="A2260" t="s">
        <v>111</v>
      </c>
      <c r="B2260" t="s">
        <v>101</v>
      </c>
      <c r="C2260" s="5">
        <v>45534</v>
      </c>
      <c r="D2260">
        <v>44</v>
      </c>
      <c r="E2260">
        <f>WEEKNUM(Append321[[#This Row],[Date]])</f>
        <v>35</v>
      </c>
    </row>
    <row r="2261" spans="1:5">
      <c r="A2261" t="s">
        <v>111</v>
      </c>
      <c r="B2261" t="s">
        <v>101</v>
      </c>
      <c r="C2261" s="5">
        <v>45535</v>
      </c>
      <c r="D2261">
        <v>37</v>
      </c>
      <c r="E2261">
        <f>WEEKNUM(Append321[[#This Row],[Date]])</f>
        <v>35</v>
      </c>
    </row>
    <row r="2262" spans="1:5">
      <c r="A2262" t="s">
        <v>111</v>
      </c>
      <c r="B2262" t="s">
        <v>102</v>
      </c>
      <c r="C2262" s="5">
        <v>45444</v>
      </c>
      <c r="D2262">
        <v>205</v>
      </c>
      <c r="E2262">
        <f>WEEKNUM(Append321[[#This Row],[Date]])</f>
        <v>22</v>
      </c>
    </row>
    <row r="2263" spans="1:5">
      <c r="A2263" t="s">
        <v>111</v>
      </c>
      <c r="B2263" t="s">
        <v>102</v>
      </c>
      <c r="C2263" s="5">
        <v>45445</v>
      </c>
      <c r="D2263">
        <v>130</v>
      </c>
      <c r="E2263">
        <f>WEEKNUM(Append321[[#This Row],[Date]])</f>
        <v>23</v>
      </c>
    </row>
    <row r="2264" spans="1:5">
      <c r="A2264" t="s">
        <v>111</v>
      </c>
      <c r="B2264" t="s">
        <v>102</v>
      </c>
      <c r="C2264" s="5">
        <v>45446</v>
      </c>
      <c r="D2264">
        <v>146</v>
      </c>
      <c r="E2264">
        <f>WEEKNUM(Append321[[#This Row],[Date]])</f>
        <v>23</v>
      </c>
    </row>
    <row r="2265" spans="1:5">
      <c r="A2265" t="s">
        <v>111</v>
      </c>
      <c r="B2265" t="s">
        <v>102</v>
      </c>
      <c r="C2265" s="5">
        <v>45447</v>
      </c>
      <c r="D2265">
        <v>145</v>
      </c>
      <c r="E2265">
        <f>WEEKNUM(Append321[[#This Row],[Date]])</f>
        <v>23</v>
      </c>
    </row>
    <row r="2266" spans="1:5">
      <c r="A2266" t="s">
        <v>111</v>
      </c>
      <c r="B2266" t="s">
        <v>102</v>
      </c>
      <c r="C2266" s="5">
        <v>45448</v>
      </c>
      <c r="D2266">
        <v>142</v>
      </c>
      <c r="E2266">
        <f>WEEKNUM(Append321[[#This Row],[Date]])</f>
        <v>23</v>
      </c>
    </row>
    <row r="2267" spans="1:5">
      <c r="A2267" t="s">
        <v>111</v>
      </c>
      <c r="B2267" t="s">
        <v>102</v>
      </c>
      <c r="C2267" s="5">
        <v>45449</v>
      </c>
      <c r="D2267">
        <v>162</v>
      </c>
      <c r="E2267">
        <f>WEEKNUM(Append321[[#This Row],[Date]])</f>
        <v>23</v>
      </c>
    </row>
    <row r="2268" spans="1:5">
      <c r="A2268" t="s">
        <v>111</v>
      </c>
      <c r="B2268" t="s">
        <v>102</v>
      </c>
      <c r="C2268" s="5">
        <v>45450</v>
      </c>
      <c r="D2268">
        <v>215</v>
      </c>
      <c r="E2268">
        <f>WEEKNUM(Append321[[#This Row],[Date]])</f>
        <v>23</v>
      </c>
    </row>
    <row r="2269" spans="1:5">
      <c r="A2269" t="s">
        <v>111</v>
      </c>
      <c r="B2269" t="s">
        <v>102</v>
      </c>
      <c r="C2269" s="5">
        <v>45451</v>
      </c>
      <c r="D2269">
        <v>187</v>
      </c>
      <c r="E2269">
        <f>WEEKNUM(Append321[[#This Row],[Date]])</f>
        <v>23</v>
      </c>
    </row>
    <row r="2270" spans="1:5">
      <c r="A2270" t="s">
        <v>111</v>
      </c>
      <c r="B2270" t="s">
        <v>102</v>
      </c>
      <c r="C2270" s="5">
        <v>45452</v>
      </c>
      <c r="D2270">
        <v>150</v>
      </c>
      <c r="E2270">
        <f>WEEKNUM(Append321[[#This Row],[Date]])</f>
        <v>24</v>
      </c>
    </row>
    <row r="2271" spans="1:5">
      <c r="A2271" t="s">
        <v>111</v>
      </c>
      <c r="B2271" t="s">
        <v>102</v>
      </c>
      <c r="C2271" s="5">
        <v>45453</v>
      </c>
      <c r="D2271">
        <v>142</v>
      </c>
      <c r="E2271">
        <f>WEEKNUM(Append321[[#This Row],[Date]])</f>
        <v>24</v>
      </c>
    </row>
    <row r="2272" spans="1:5">
      <c r="A2272" t="s">
        <v>111</v>
      </c>
      <c r="B2272" t="s">
        <v>102</v>
      </c>
      <c r="C2272" s="5">
        <v>45454</v>
      </c>
      <c r="D2272">
        <v>160</v>
      </c>
      <c r="E2272">
        <f>WEEKNUM(Append321[[#This Row],[Date]])</f>
        <v>24</v>
      </c>
    </row>
    <row r="2273" spans="1:5">
      <c r="A2273" t="s">
        <v>111</v>
      </c>
      <c r="B2273" t="s">
        <v>102</v>
      </c>
      <c r="C2273" s="5">
        <v>45455</v>
      </c>
      <c r="D2273">
        <v>175</v>
      </c>
      <c r="E2273">
        <f>WEEKNUM(Append321[[#This Row],[Date]])</f>
        <v>24</v>
      </c>
    </row>
    <row r="2274" spans="1:5">
      <c r="A2274" t="s">
        <v>111</v>
      </c>
      <c r="B2274" t="s">
        <v>102</v>
      </c>
      <c r="C2274" s="5">
        <v>45456</v>
      </c>
      <c r="D2274">
        <v>182</v>
      </c>
      <c r="E2274">
        <f>WEEKNUM(Append321[[#This Row],[Date]])</f>
        <v>24</v>
      </c>
    </row>
    <row r="2275" spans="1:5">
      <c r="A2275" t="s">
        <v>111</v>
      </c>
      <c r="B2275" t="s">
        <v>102</v>
      </c>
      <c r="C2275" s="5">
        <v>45457</v>
      </c>
      <c r="D2275">
        <v>204</v>
      </c>
      <c r="E2275">
        <f>WEEKNUM(Append321[[#This Row],[Date]])</f>
        <v>24</v>
      </c>
    </row>
    <row r="2276" spans="1:5">
      <c r="A2276" t="s">
        <v>111</v>
      </c>
      <c r="B2276" t="s">
        <v>102</v>
      </c>
      <c r="C2276" s="5">
        <v>45458</v>
      </c>
      <c r="D2276">
        <v>178</v>
      </c>
      <c r="E2276">
        <f>WEEKNUM(Append321[[#This Row],[Date]])</f>
        <v>24</v>
      </c>
    </row>
    <row r="2277" spans="1:5">
      <c r="A2277" t="s">
        <v>111</v>
      </c>
      <c r="B2277" t="s">
        <v>102</v>
      </c>
      <c r="C2277" s="5">
        <v>45459</v>
      </c>
      <c r="D2277">
        <v>165</v>
      </c>
      <c r="E2277">
        <f>WEEKNUM(Append321[[#This Row],[Date]])</f>
        <v>25</v>
      </c>
    </row>
    <row r="2278" spans="1:5">
      <c r="A2278" t="s">
        <v>111</v>
      </c>
      <c r="B2278" t="s">
        <v>102</v>
      </c>
      <c r="C2278" s="5">
        <v>45460</v>
      </c>
      <c r="D2278">
        <v>187</v>
      </c>
      <c r="E2278">
        <f>WEEKNUM(Append321[[#This Row],[Date]])</f>
        <v>25</v>
      </c>
    </row>
    <row r="2279" spans="1:5">
      <c r="A2279" t="s">
        <v>111</v>
      </c>
      <c r="B2279" t="s">
        <v>102</v>
      </c>
      <c r="C2279" s="5">
        <v>45461</v>
      </c>
      <c r="D2279">
        <v>130</v>
      </c>
      <c r="E2279">
        <f>WEEKNUM(Append321[[#This Row],[Date]])</f>
        <v>25</v>
      </c>
    </row>
    <row r="2280" spans="1:5">
      <c r="A2280" t="s">
        <v>111</v>
      </c>
      <c r="B2280" t="s">
        <v>102</v>
      </c>
      <c r="C2280" s="5">
        <v>45462</v>
      </c>
      <c r="D2280">
        <v>159</v>
      </c>
      <c r="E2280">
        <f>WEEKNUM(Append321[[#This Row],[Date]])</f>
        <v>25</v>
      </c>
    </row>
    <row r="2281" spans="1:5">
      <c r="A2281" t="s">
        <v>111</v>
      </c>
      <c r="B2281" t="s">
        <v>102</v>
      </c>
      <c r="C2281" s="5">
        <v>45463</v>
      </c>
      <c r="D2281">
        <v>133</v>
      </c>
      <c r="E2281">
        <f>WEEKNUM(Append321[[#This Row],[Date]])</f>
        <v>25</v>
      </c>
    </row>
    <row r="2282" spans="1:5">
      <c r="A2282" t="s">
        <v>111</v>
      </c>
      <c r="B2282" t="s">
        <v>102</v>
      </c>
      <c r="C2282" s="5">
        <v>45464</v>
      </c>
      <c r="D2282">
        <v>159</v>
      </c>
      <c r="E2282">
        <f>WEEKNUM(Append321[[#This Row],[Date]])</f>
        <v>25</v>
      </c>
    </row>
    <row r="2283" spans="1:5">
      <c r="A2283" t="s">
        <v>111</v>
      </c>
      <c r="B2283" t="s">
        <v>102</v>
      </c>
      <c r="C2283" s="5">
        <v>45465</v>
      </c>
      <c r="D2283">
        <v>158</v>
      </c>
      <c r="E2283">
        <f>WEEKNUM(Append321[[#This Row],[Date]])</f>
        <v>25</v>
      </c>
    </row>
    <row r="2284" spans="1:5">
      <c r="A2284" t="s">
        <v>111</v>
      </c>
      <c r="B2284" t="s">
        <v>102</v>
      </c>
      <c r="C2284" s="5">
        <v>45466</v>
      </c>
      <c r="D2284">
        <v>122</v>
      </c>
      <c r="E2284">
        <f>WEEKNUM(Append321[[#This Row],[Date]])</f>
        <v>26</v>
      </c>
    </row>
    <row r="2285" spans="1:5">
      <c r="A2285" t="s">
        <v>111</v>
      </c>
      <c r="B2285" t="s">
        <v>102</v>
      </c>
      <c r="C2285" s="5">
        <v>45467</v>
      </c>
      <c r="D2285">
        <v>132</v>
      </c>
      <c r="E2285">
        <f>WEEKNUM(Append321[[#This Row],[Date]])</f>
        <v>26</v>
      </c>
    </row>
    <row r="2286" spans="1:5">
      <c r="A2286" t="s">
        <v>111</v>
      </c>
      <c r="B2286" t="s">
        <v>102</v>
      </c>
      <c r="C2286" s="5">
        <v>45468</v>
      </c>
      <c r="D2286">
        <v>164</v>
      </c>
      <c r="E2286">
        <f>WEEKNUM(Append321[[#This Row],[Date]])</f>
        <v>26</v>
      </c>
    </row>
    <row r="2287" spans="1:5">
      <c r="A2287" t="s">
        <v>111</v>
      </c>
      <c r="B2287" t="s">
        <v>102</v>
      </c>
      <c r="C2287" s="5">
        <v>45469</v>
      </c>
      <c r="D2287">
        <v>112</v>
      </c>
      <c r="E2287">
        <f>WEEKNUM(Append321[[#This Row],[Date]])</f>
        <v>26</v>
      </c>
    </row>
    <row r="2288" spans="1:5">
      <c r="A2288" t="s">
        <v>111</v>
      </c>
      <c r="B2288" t="s">
        <v>102</v>
      </c>
      <c r="C2288" s="5">
        <v>45470</v>
      </c>
      <c r="D2288">
        <v>151</v>
      </c>
      <c r="E2288">
        <f>WEEKNUM(Append321[[#This Row],[Date]])</f>
        <v>26</v>
      </c>
    </row>
    <row r="2289" spans="1:5">
      <c r="A2289" t="s">
        <v>111</v>
      </c>
      <c r="B2289" t="s">
        <v>102</v>
      </c>
      <c r="C2289" s="5">
        <v>45471</v>
      </c>
      <c r="D2289">
        <v>145</v>
      </c>
      <c r="E2289">
        <f>WEEKNUM(Append321[[#This Row],[Date]])</f>
        <v>26</v>
      </c>
    </row>
    <row r="2290" spans="1:5">
      <c r="A2290" t="s">
        <v>111</v>
      </c>
      <c r="B2290" t="s">
        <v>102</v>
      </c>
      <c r="C2290" s="5">
        <v>45472</v>
      </c>
      <c r="D2290">
        <v>166</v>
      </c>
      <c r="E2290">
        <f>WEEKNUM(Append321[[#This Row],[Date]])</f>
        <v>26</v>
      </c>
    </row>
    <row r="2291" spans="1:5">
      <c r="A2291" t="s">
        <v>111</v>
      </c>
      <c r="B2291" t="s">
        <v>102</v>
      </c>
      <c r="C2291" s="5">
        <v>45473</v>
      </c>
      <c r="D2291">
        <v>159</v>
      </c>
      <c r="E2291">
        <f>WEEKNUM(Append321[[#This Row],[Date]])</f>
        <v>27</v>
      </c>
    </row>
    <row r="2292" spans="1:5">
      <c r="A2292" t="s">
        <v>111</v>
      </c>
      <c r="B2292" t="s">
        <v>102</v>
      </c>
      <c r="C2292" s="5">
        <v>45474</v>
      </c>
      <c r="D2292">
        <v>183</v>
      </c>
      <c r="E2292">
        <f>WEEKNUM(Append321[[#This Row],[Date]])</f>
        <v>27</v>
      </c>
    </row>
    <row r="2293" spans="1:5">
      <c r="A2293" t="s">
        <v>111</v>
      </c>
      <c r="B2293" t="s">
        <v>102</v>
      </c>
      <c r="C2293" s="5">
        <v>45475</v>
      </c>
      <c r="D2293">
        <v>180</v>
      </c>
      <c r="E2293">
        <f>WEEKNUM(Append321[[#This Row],[Date]])</f>
        <v>27</v>
      </c>
    </row>
    <row r="2294" spans="1:5">
      <c r="A2294" t="s">
        <v>111</v>
      </c>
      <c r="B2294" t="s">
        <v>102</v>
      </c>
      <c r="C2294" s="5">
        <v>45476</v>
      </c>
      <c r="D2294">
        <v>153</v>
      </c>
      <c r="E2294">
        <f>WEEKNUM(Append321[[#This Row],[Date]])</f>
        <v>27</v>
      </c>
    </row>
    <row r="2295" spans="1:5">
      <c r="A2295" t="s">
        <v>111</v>
      </c>
      <c r="B2295" t="s">
        <v>102</v>
      </c>
      <c r="C2295" s="5">
        <v>45477</v>
      </c>
      <c r="D2295">
        <v>140</v>
      </c>
      <c r="E2295">
        <f>WEEKNUM(Append321[[#This Row],[Date]])</f>
        <v>27</v>
      </c>
    </row>
    <row r="2296" spans="1:5">
      <c r="A2296" t="s">
        <v>111</v>
      </c>
      <c r="B2296" t="s">
        <v>102</v>
      </c>
      <c r="C2296" s="5">
        <v>45478</v>
      </c>
      <c r="D2296">
        <v>172</v>
      </c>
      <c r="E2296">
        <f>WEEKNUM(Append321[[#This Row],[Date]])</f>
        <v>27</v>
      </c>
    </row>
    <row r="2297" spans="1:5">
      <c r="A2297" t="s">
        <v>111</v>
      </c>
      <c r="B2297" t="s">
        <v>102</v>
      </c>
      <c r="C2297" s="5">
        <v>45479</v>
      </c>
      <c r="D2297">
        <v>220</v>
      </c>
      <c r="E2297">
        <f>WEEKNUM(Append321[[#This Row],[Date]])</f>
        <v>27</v>
      </c>
    </row>
    <row r="2298" spans="1:5">
      <c r="A2298" t="s">
        <v>111</v>
      </c>
      <c r="B2298" t="s">
        <v>102</v>
      </c>
      <c r="C2298" s="5">
        <v>45480</v>
      </c>
      <c r="D2298">
        <v>169</v>
      </c>
      <c r="E2298">
        <f>WEEKNUM(Append321[[#This Row],[Date]])</f>
        <v>28</v>
      </c>
    </row>
    <row r="2299" spans="1:5">
      <c r="A2299" t="s">
        <v>111</v>
      </c>
      <c r="B2299" t="s">
        <v>102</v>
      </c>
      <c r="C2299" s="5">
        <v>45481</v>
      </c>
      <c r="D2299">
        <v>151</v>
      </c>
      <c r="E2299">
        <f>WEEKNUM(Append321[[#This Row],[Date]])</f>
        <v>28</v>
      </c>
    </row>
    <row r="2300" spans="1:5">
      <c r="A2300" t="s">
        <v>111</v>
      </c>
      <c r="B2300" t="s">
        <v>102</v>
      </c>
      <c r="C2300" s="5">
        <v>45482</v>
      </c>
      <c r="D2300">
        <v>146</v>
      </c>
      <c r="E2300">
        <f>WEEKNUM(Append321[[#This Row],[Date]])</f>
        <v>28</v>
      </c>
    </row>
    <row r="2301" spans="1:5">
      <c r="A2301" t="s">
        <v>111</v>
      </c>
      <c r="B2301" t="s">
        <v>102</v>
      </c>
      <c r="C2301" s="5">
        <v>45483</v>
      </c>
      <c r="D2301">
        <v>153</v>
      </c>
      <c r="E2301">
        <f>WEEKNUM(Append321[[#This Row],[Date]])</f>
        <v>28</v>
      </c>
    </row>
    <row r="2302" spans="1:5">
      <c r="A2302" t="s">
        <v>111</v>
      </c>
      <c r="B2302" t="s">
        <v>102</v>
      </c>
      <c r="C2302" s="5">
        <v>45484</v>
      </c>
      <c r="D2302">
        <v>136</v>
      </c>
      <c r="E2302">
        <f>WEEKNUM(Append321[[#This Row],[Date]])</f>
        <v>28</v>
      </c>
    </row>
    <row r="2303" spans="1:5">
      <c r="A2303" t="s">
        <v>111</v>
      </c>
      <c r="B2303" t="s">
        <v>102</v>
      </c>
      <c r="C2303" s="5">
        <v>45485</v>
      </c>
      <c r="D2303">
        <v>165</v>
      </c>
      <c r="E2303">
        <f>WEEKNUM(Append321[[#This Row],[Date]])</f>
        <v>28</v>
      </c>
    </row>
    <row r="2304" spans="1:5">
      <c r="A2304" t="s">
        <v>111</v>
      </c>
      <c r="B2304" t="s">
        <v>102</v>
      </c>
      <c r="C2304" s="5">
        <v>45486</v>
      </c>
      <c r="D2304">
        <v>210</v>
      </c>
      <c r="E2304">
        <f>WEEKNUM(Append321[[#This Row],[Date]])</f>
        <v>28</v>
      </c>
    </row>
    <row r="2305" spans="1:5">
      <c r="A2305" t="s">
        <v>111</v>
      </c>
      <c r="B2305" t="s">
        <v>102</v>
      </c>
      <c r="C2305" s="5">
        <v>45487</v>
      </c>
      <c r="D2305">
        <v>167</v>
      </c>
      <c r="E2305">
        <f>WEEKNUM(Append321[[#This Row],[Date]])</f>
        <v>29</v>
      </c>
    </row>
    <row r="2306" spans="1:5">
      <c r="A2306" t="s">
        <v>111</v>
      </c>
      <c r="B2306" t="s">
        <v>102</v>
      </c>
      <c r="C2306" s="5">
        <v>45488</v>
      </c>
      <c r="D2306">
        <v>137</v>
      </c>
      <c r="E2306">
        <f>WEEKNUM(Append321[[#This Row],[Date]])</f>
        <v>29</v>
      </c>
    </row>
    <row r="2307" spans="1:5">
      <c r="A2307" t="s">
        <v>111</v>
      </c>
      <c r="B2307" t="s">
        <v>102</v>
      </c>
      <c r="C2307" s="5">
        <v>45489</v>
      </c>
      <c r="D2307">
        <v>130</v>
      </c>
      <c r="E2307">
        <f>WEEKNUM(Append321[[#This Row],[Date]])</f>
        <v>29</v>
      </c>
    </row>
    <row r="2308" spans="1:5">
      <c r="A2308" t="s">
        <v>111</v>
      </c>
      <c r="B2308" t="s">
        <v>102</v>
      </c>
      <c r="C2308" s="5">
        <v>45490</v>
      </c>
      <c r="D2308">
        <v>133</v>
      </c>
      <c r="E2308">
        <f>WEEKNUM(Append321[[#This Row],[Date]])</f>
        <v>29</v>
      </c>
    </row>
    <row r="2309" spans="1:5">
      <c r="A2309" t="s">
        <v>111</v>
      </c>
      <c r="B2309" t="s">
        <v>102</v>
      </c>
      <c r="C2309" s="5">
        <v>45491</v>
      </c>
      <c r="D2309">
        <v>124</v>
      </c>
      <c r="E2309">
        <f>WEEKNUM(Append321[[#This Row],[Date]])</f>
        <v>29</v>
      </c>
    </row>
    <row r="2310" spans="1:5">
      <c r="A2310" t="s">
        <v>111</v>
      </c>
      <c r="B2310" t="s">
        <v>102</v>
      </c>
      <c r="C2310" s="5">
        <v>45492</v>
      </c>
      <c r="D2310">
        <v>154</v>
      </c>
      <c r="E2310">
        <f>WEEKNUM(Append321[[#This Row],[Date]])</f>
        <v>29</v>
      </c>
    </row>
    <row r="2311" spans="1:5">
      <c r="A2311" t="s">
        <v>111</v>
      </c>
      <c r="B2311" t="s">
        <v>102</v>
      </c>
      <c r="C2311" s="5">
        <v>45493</v>
      </c>
      <c r="D2311">
        <v>200</v>
      </c>
      <c r="E2311">
        <f>WEEKNUM(Append321[[#This Row],[Date]])</f>
        <v>29</v>
      </c>
    </row>
    <row r="2312" spans="1:5">
      <c r="A2312" t="s">
        <v>111</v>
      </c>
      <c r="B2312" t="s">
        <v>102</v>
      </c>
      <c r="C2312" s="5">
        <v>45494</v>
      </c>
      <c r="D2312">
        <v>160</v>
      </c>
      <c r="E2312">
        <f>WEEKNUM(Append321[[#This Row],[Date]])</f>
        <v>30</v>
      </c>
    </row>
    <row r="2313" spans="1:5">
      <c r="A2313" t="s">
        <v>111</v>
      </c>
      <c r="B2313" t="s">
        <v>102</v>
      </c>
      <c r="C2313" s="5">
        <v>45495</v>
      </c>
      <c r="D2313">
        <v>135</v>
      </c>
      <c r="E2313">
        <f>WEEKNUM(Append321[[#This Row],[Date]])</f>
        <v>30</v>
      </c>
    </row>
    <row r="2314" spans="1:5">
      <c r="A2314" t="s">
        <v>111</v>
      </c>
      <c r="B2314" t="s">
        <v>102</v>
      </c>
      <c r="C2314" s="5">
        <v>45496</v>
      </c>
      <c r="D2314">
        <v>192</v>
      </c>
      <c r="E2314">
        <f>WEEKNUM(Append321[[#This Row],[Date]])</f>
        <v>30</v>
      </c>
    </row>
    <row r="2315" spans="1:5">
      <c r="A2315" t="s">
        <v>111</v>
      </c>
      <c r="B2315" t="s">
        <v>102</v>
      </c>
      <c r="C2315" s="5">
        <v>45497</v>
      </c>
      <c r="D2315">
        <v>171</v>
      </c>
      <c r="E2315">
        <f>WEEKNUM(Append321[[#This Row],[Date]])</f>
        <v>30</v>
      </c>
    </row>
    <row r="2316" spans="1:5">
      <c r="A2316" t="s">
        <v>111</v>
      </c>
      <c r="B2316" t="s">
        <v>102</v>
      </c>
      <c r="C2316" s="5">
        <v>45498</v>
      </c>
      <c r="D2316">
        <v>158</v>
      </c>
      <c r="E2316">
        <f>WEEKNUM(Append321[[#This Row],[Date]])</f>
        <v>30</v>
      </c>
    </row>
    <row r="2317" spans="1:5">
      <c r="A2317" t="s">
        <v>111</v>
      </c>
      <c r="B2317" t="s">
        <v>102</v>
      </c>
      <c r="C2317" s="5">
        <v>45499</v>
      </c>
      <c r="D2317">
        <v>184</v>
      </c>
      <c r="E2317">
        <f>WEEKNUM(Append321[[#This Row],[Date]])</f>
        <v>30</v>
      </c>
    </row>
    <row r="2318" spans="1:5">
      <c r="A2318" t="s">
        <v>111</v>
      </c>
      <c r="B2318" t="s">
        <v>102</v>
      </c>
      <c r="C2318" s="5">
        <v>45500</v>
      </c>
      <c r="D2318">
        <v>206</v>
      </c>
      <c r="E2318">
        <f>WEEKNUM(Append321[[#This Row],[Date]])</f>
        <v>30</v>
      </c>
    </row>
    <row r="2319" spans="1:5">
      <c r="A2319" t="s">
        <v>111</v>
      </c>
      <c r="B2319" t="s">
        <v>102</v>
      </c>
      <c r="C2319" s="5">
        <v>45501</v>
      </c>
      <c r="D2319">
        <v>162</v>
      </c>
      <c r="E2319">
        <f>WEEKNUM(Append321[[#This Row],[Date]])</f>
        <v>31</v>
      </c>
    </row>
    <row r="2320" spans="1:5">
      <c r="A2320" t="s">
        <v>111</v>
      </c>
      <c r="B2320" t="s">
        <v>102</v>
      </c>
      <c r="C2320" s="5">
        <v>45502</v>
      </c>
      <c r="D2320">
        <v>157</v>
      </c>
      <c r="E2320">
        <f>WEEKNUM(Append321[[#This Row],[Date]])</f>
        <v>31</v>
      </c>
    </row>
    <row r="2321" spans="1:5">
      <c r="A2321" t="s">
        <v>111</v>
      </c>
      <c r="B2321" t="s">
        <v>102</v>
      </c>
      <c r="C2321" s="5">
        <v>45503</v>
      </c>
      <c r="D2321">
        <v>184</v>
      </c>
      <c r="E2321">
        <f>WEEKNUM(Append321[[#This Row],[Date]])</f>
        <v>31</v>
      </c>
    </row>
    <row r="2322" spans="1:5">
      <c r="A2322" t="s">
        <v>111</v>
      </c>
      <c r="B2322" t="s">
        <v>102</v>
      </c>
      <c r="C2322" s="5">
        <v>45504</v>
      </c>
      <c r="D2322">
        <v>187</v>
      </c>
      <c r="E2322">
        <f>WEEKNUM(Append321[[#This Row],[Date]])</f>
        <v>31</v>
      </c>
    </row>
    <row r="2323" spans="1:5">
      <c r="A2323" t="s">
        <v>111</v>
      </c>
      <c r="B2323" t="s">
        <v>102</v>
      </c>
      <c r="C2323" s="5">
        <v>45505</v>
      </c>
      <c r="D2323">
        <v>167</v>
      </c>
      <c r="E2323">
        <f>WEEKNUM(Append321[[#This Row],[Date]])</f>
        <v>31</v>
      </c>
    </row>
    <row r="2324" spans="1:5">
      <c r="A2324" t="s">
        <v>111</v>
      </c>
      <c r="B2324" t="s">
        <v>102</v>
      </c>
      <c r="C2324" s="5">
        <v>45506</v>
      </c>
      <c r="D2324">
        <v>203</v>
      </c>
      <c r="E2324">
        <f>WEEKNUM(Append321[[#This Row],[Date]])</f>
        <v>31</v>
      </c>
    </row>
    <row r="2325" spans="1:5">
      <c r="A2325" t="s">
        <v>111</v>
      </c>
      <c r="B2325" t="s">
        <v>102</v>
      </c>
      <c r="C2325" s="5">
        <v>45507</v>
      </c>
      <c r="D2325">
        <v>208</v>
      </c>
      <c r="E2325">
        <f>WEEKNUM(Append321[[#This Row],[Date]])</f>
        <v>31</v>
      </c>
    </row>
    <row r="2326" spans="1:5">
      <c r="A2326" t="s">
        <v>111</v>
      </c>
      <c r="B2326" t="s">
        <v>102</v>
      </c>
      <c r="C2326" s="5">
        <v>45508</v>
      </c>
      <c r="D2326">
        <v>162</v>
      </c>
      <c r="E2326">
        <f>WEEKNUM(Append321[[#This Row],[Date]])</f>
        <v>32</v>
      </c>
    </row>
    <row r="2327" spans="1:5">
      <c r="A2327" t="s">
        <v>111</v>
      </c>
      <c r="B2327" t="s">
        <v>102</v>
      </c>
      <c r="C2327" s="5">
        <v>45509</v>
      </c>
      <c r="D2327">
        <v>156</v>
      </c>
      <c r="E2327">
        <f>WEEKNUM(Append321[[#This Row],[Date]])</f>
        <v>32</v>
      </c>
    </row>
    <row r="2328" spans="1:5">
      <c r="A2328" t="s">
        <v>111</v>
      </c>
      <c r="B2328" t="s">
        <v>102</v>
      </c>
      <c r="C2328" s="5">
        <v>45510</v>
      </c>
      <c r="D2328">
        <v>152</v>
      </c>
      <c r="E2328">
        <f>WEEKNUM(Append321[[#This Row],[Date]])</f>
        <v>32</v>
      </c>
    </row>
    <row r="2329" spans="1:5">
      <c r="A2329" t="s">
        <v>111</v>
      </c>
      <c r="B2329" t="s">
        <v>102</v>
      </c>
      <c r="C2329" s="5">
        <v>45511</v>
      </c>
      <c r="D2329">
        <v>112</v>
      </c>
      <c r="E2329">
        <f>WEEKNUM(Append321[[#This Row],[Date]])</f>
        <v>32</v>
      </c>
    </row>
    <row r="2330" spans="1:5">
      <c r="A2330" t="s">
        <v>111</v>
      </c>
      <c r="B2330" t="s">
        <v>102</v>
      </c>
      <c r="C2330" s="5">
        <v>45512</v>
      </c>
      <c r="D2330">
        <v>115</v>
      </c>
      <c r="E2330">
        <f>WEEKNUM(Append321[[#This Row],[Date]])</f>
        <v>32</v>
      </c>
    </row>
    <row r="2331" spans="1:5">
      <c r="A2331" t="s">
        <v>111</v>
      </c>
      <c r="B2331" t="s">
        <v>102</v>
      </c>
      <c r="C2331" s="5">
        <v>45513</v>
      </c>
      <c r="D2331">
        <v>124</v>
      </c>
      <c r="E2331">
        <f>WEEKNUM(Append321[[#This Row],[Date]])</f>
        <v>32</v>
      </c>
    </row>
    <row r="2332" spans="1:5">
      <c r="A2332" t="s">
        <v>111</v>
      </c>
      <c r="B2332" t="s">
        <v>102</v>
      </c>
      <c r="C2332" s="5">
        <v>45514</v>
      </c>
      <c r="D2332">
        <v>140</v>
      </c>
      <c r="E2332">
        <f>WEEKNUM(Append321[[#This Row],[Date]])</f>
        <v>32</v>
      </c>
    </row>
    <row r="2333" spans="1:5">
      <c r="A2333" t="s">
        <v>111</v>
      </c>
      <c r="B2333" t="s">
        <v>102</v>
      </c>
      <c r="C2333" s="5">
        <v>45515</v>
      </c>
      <c r="D2333">
        <v>107</v>
      </c>
      <c r="E2333">
        <f>WEEKNUM(Append321[[#This Row],[Date]])</f>
        <v>33</v>
      </c>
    </row>
    <row r="2334" spans="1:5">
      <c r="A2334" t="s">
        <v>111</v>
      </c>
      <c r="B2334" t="s">
        <v>102</v>
      </c>
      <c r="C2334" s="5">
        <v>45516</v>
      </c>
      <c r="D2334">
        <v>128</v>
      </c>
      <c r="E2334">
        <f>WEEKNUM(Append321[[#This Row],[Date]])</f>
        <v>33</v>
      </c>
    </row>
    <row r="2335" spans="1:5">
      <c r="A2335" t="s">
        <v>111</v>
      </c>
      <c r="B2335" t="s">
        <v>102</v>
      </c>
      <c r="C2335" s="5">
        <v>45517</v>
      </c>
      <c r="D2335">
        <v>138</v>
      </c>
      <c r="E2335">
        <f>WEEKNUM(Append321[[#This Row],[Date]])</f>
        <v>33</v>
      </c>
    </row>
    <row r="2336" spans="1:5">
      <c r="A2336" t="s">
        <v>111</v>
      </c>
      <c r="B2336" t="s">
        <v>102</v>
      </c>
      <c r="C2336" s="5">
        <v>45518</v>
      </c>
      <c r="D2336">
        <v>190</v>
      </c>
      <c r="E2336">
        <f>WEEKNUM(Append321[[#This Row],[Date]])</f>
        <v>33</v>
      </c>
    </row>
    <row r="2337" spans="1:5">
      <c r="A2337" t="s">
        <v>111</v>
      </c>
      <c r="B2337" t="s">
        <v>102</v>
      </c>
      <c r="C2337" s="5">
        <v>45519</v>
      </c>
      <c r="D2337">
        <v>160</v>
      </c>
      <c r="E2337">
        <f>WEEKNUM(Append321[[#This Row],[Date]])</f>
        <v>33</v>
      </c>
    </row>
    <row r="2338" spans="1:5">
      <c r="A2338" t="s">
        <v>111</v>
      </c>
      <c r="B2338" t="s">
        <v>102</v>
      </c>
      <c r="C2338" s="5">
        <v>45520</v>
      </c>
      <c r="D2338">
        <v>154</v>
      </c>
      <c r="E2338">
        <f>WEEKNUM(Append321[[#This Row],[Date]])</f>
        <v>33</v>
      </c>
    </row>
    <row r="2339" spans="1:5">
      <c r="A2339" t="s">
        <v>111</v>
      </c>
      <c r="B2339" t="s">
        <v>102</v>
      </c>
      <c r="C2339" s="5">
        <v>45521</v>
      </c>
      <c r="D2339">
        <v>142</v>
      </c>
      <c r="E2339">
        <f>WEEKNUM(Append321[[#This Row],[Date]])</f>
        <v>33</v>
      </c>
    </row>
    <row r="2340" spans="1:5">
      <c r="A2340" t="s">
        <v>111</v>
      </c>
      <c r="B2340" t="s">
        <v>102</v>
      </c>
      <c r="C2340" s="5">
        <v>45522</v>
      </c>
      <c r="D2340">
        <v>161</v>
      </c>
      <c r="E2340">
        <f>WEEKNUM(Append321[[#This Row],[Date]])</f>
        <v>34</v>
      </c>
    </row>
    <row r="2341" spans="1:5">
      <c r="A2341" t="s">
        <v>111</v>
      </c>
      <c r="B2341" t="s">
        <v>102</v>
      </c>
      <c r="C2341" s="5">
        <v>45523</v>
      </c>
      <c r="D2341">
        <v>217</v>
      </c>
      <c r="E2341">
        <f>WEEKNUM(Append321[[#This Row],[Date]])</f>
        <v>34</v>
      </c>
    </row>
    <row r="2342" spans="1:5">
      <c r="A2342" t="s">
        <v>111</v>
      </c>
      <c r="B2342" t="s">
        <v>102</v>
      </c>
      <c r="C2342" s="5">
        <v>45524</v>
      </c>
      <c r="D2342">
        <v>190</v>
      </c>
      <c r="E2342">
        <f>WEEKNUM(Append321[[#This Row],[Date]])</f>
        <v>34</v>
      </c>
    </row>
    <row r="2343" spans="1:5">
      <c r="A2343" t="s">
        <v>111</v>
      </c>
      <c r="B2343" t="s">
        <v>102</v>
      </c>
      <c r="C2343" s="5">
        <v>45525</v>
      </c>
      <c r="D2343">
        <v>222</v>
      </c>
      <c r="E2343">
        <f>WEEKNUM(Append321[[#This Row],[Date]])</f>
        <v>34</v>
      </c>
    </row>
    <row r="2344" spans="1:5">
      <c r="A2344" t="s">
        <v>111</v>
      </c>
      <c r="B2344" t="s">
        <v>102</v>
      </c>
      <c r="C2344" s="5">
        <v>45526</v>
      </c>
      <c r="D2344">
        <v>213</v>
      </c>
      <c r="E2344">
        <f>WEEKNUM(Append321[[#This Row],[Date]])</f>
        <v>34</v>
      </c>
    </row>
    <row r="2345" spans="1:5">
      <c r="A2345" t="s">
        <v>111</v>
      </c>
      <c r="B2345" t="s">
        <v>102</v>
      </c>
      <c r="C2345" s="5">
        <v>45527</v>
      </c>
      <c r="D2345">
        <v>215</v>
      </c>
      <c r="E2345">
        <f>WEEKNUM(Append321[[#This Row],[Date]])</f>
        <v>34</v>
      </c>
    </row>
    <row r="2346" spans="1:5">
      <c r="A2346" t="s">
        <v>111</v>
      </c>
      <c r="B2346" t="s">
        <v>102</v>
      </c>
      <c r="C2346" s="5">
        <v>45528</v>
      </c>
      <c r="D2346">
        <v>237</v>
      </c>
      <c r="E2346">
        <f>WEEKNUM(Append321[[#This Row],[Date]])</f>
        <v>34</v>
      </c>
    </row>
    <row r="2347" spans="1:5">
      <c r="A2347" t="s">
        <v>111</v>
      </c>
      <c r="B2347" t="s">
        <v>102</v>
      </c>
      <c r="C2347" s="5">
        <v>45529</v>
      </c>
      <c r="D2347">
        <v>189</v>
      </c>
      <c r="E2347">
        <f>WEEKNUM(Append321[[#This Row],[Date]])</f>
        <v>35</v>
      </c>
    </row>
    <row r="2348" spans="1:5">
      <c r="A2348" t="s">
        <v>111</v>
      </c>
      <c r="B2348" t="s">
        <v>102</v>
      </c>
      <c r="C2348" s="5">
        <v>45530</v>
      </c>
      <c r="D2348">
        <v>172</v>
      </c>
      <c r="E2348">
        <f>WEEKNUM(Append321[[#This Row],[Date]])</f>
        <v>35</v>
      </c>
    </row>
    <row r="2349" spans="1:5">
      <c r="A2349" t="s">
        <v>111</v>
      </c>
      <c r="B2349" t="s">
        <v>102</v>
      </c>
      <c r="C2349" s="5">
        <v>45531</v>
      </c>
      <c r="D2349">
        <v>203</v>
      </c>
      <c r="E2349">
        <f>WEEKNUM(Append321[[#This Row],[Date]])</f>
        <v>35</v>
      </c>
    </row>
    <row r="2350" spans="1:5">
      <c r="A2350" t="s">
        <v>111</v>
      </c>
      <c r="B2350" t="s">
        <v>102</v>
      </c>
      <c r="C2350" s="5">
        <v>45532</v>
      </c>
      <c r="D2350">
        <v>167</v>
      </c>
      <c r="E2350">
        <f>WEEKNUM(Append321[[#This Row],[Date]])</f>
        <v>35</v>
      </c>
    </row>
    <row r="2351" spans="1:5">
      <c r="A2351" t="s">
        <v>111</v>
      </c>
      <c r="B2351" t="s">
        <v>102</v>
      </c>
      <c r="C2351" s="5">
        <v>45533</v>
      </c>
      <c r="D2351">
        <v>185</v>
      </c>
      <c r="E2351">
        <f>WEEKNUM(Append321[[#This Row],[Date]])</f>
        <v>35</v>
      </c>
    </row>
    <row r="2352" spans="1:5">
      <c r="A2352" t="s">
        <v>111</v>
      </c>
      <c r="B2352" t="s">
        <v>102</v>
      </c>
      <c r="C2352" s="5">
        <v>45534</v>
      </c>
      <c r="D2352">
        <v>164</v>
      </c>
      <c r="E2352">
        <f>WEEKNUM(Append321[[#This Row],[Date]])</f>
        <v>35</v>
      </c>
    </row>
    <row r="2353" spans="1:5">
      <c r="A2353" t="s">
        <v>111</v>
      </c>
      <c r="B2353" t="s">
        <v>102</v>
      </c>
      <c r="C2353" s="5">
        <v>45535</v>
      </c>
      <c r="D2353">
        <v>177</v>
      </c>
      <c r="E2353">
        <f>WEEKNUM(Append321[[#This Row],[Date]])</f>
        <v>35</v>
      </c>
    </row>
    <row r="2354" spans="1:5">
      <c r="A2354" t="s">
        <v>111</v>
      </c>
      <c r="B2354" t="s">
        <v>103</v>
      </c>
      <c r="C2354" s="5">
        <v>45444</v>
      </c>
      <c r="D2354">
        <v>27</v>
      </c>
      <c r="E2354">
        <f>WEEKNUM(Append321[[#This Row],[Date]])</f>
        <v>22</v>
      </c>
    </row>
    <row r="2355" spans="1:5">
      <c r="A2355" t="s">
        <v>111</v>
      </c>
      <c r="B2355" t="s">
        <v>103</v>
      </c>
      <c r="C2355" s="5">
        <v>45445</v>
      </c>
      <c r="D2355">
        <v>12</v>
      </c>
      <c r="E2355">
        <f>WEEKNUM(Append321[[#This Row],[Date]])</f>
        <v>23</v>
      </c>
    </row>
    <row r="2356" spans="1:5">
      <c r="A2356" t="s">
        <v>111</v>
      </c>
      <c r="B2356" t="s">
        <v>103</v>
      </c>
      <c r="C2356" s="5">
        <v>45446</v>
      </c>
      <c r="D2356">
        <v>26</v>
      </c>
      <c r="E2356">
        <f>WEEKNUM(Append321[[#This Row],[Date]])</f>
        <v>23</v>
      </c>
    </row>
    <row r="2357" spans="1:5">
      <c r="A2357" t="s">
        <v>111</v>
      </c>
      <c r="B2357" t="s">
        <v>103</v>
      </c>
      <c r="C2357" s="5">
        <v>45447</v>
      </c>
      <c r="D2357">
        <v>25</v>
      </c>
      <c r="E2357">
        <f>WEEKNUM(Append321[[#This Row],[Date]])</f>
        <v>23</v>
      </c>
    </row>
    <row r="2358" spans="1:5">
      <c r="A2358" t="s">
        <v>111</v>
      </c>
      <c r="B2358" t="s">
        <v>103</v>
      </c>
      <c r="C2358" s="5">
        <v>45448</v>
      </c>
      <c r="D2358">
        <v>22</v>
      </c>
      <c r="E2358">
        <f>WEEKNUM(Append321[[#This Row],[Date]])</f>
        <v>23</v>
      </c>
    </row>
    <row r="2359" spans="1:5">
      <c r="A2359" t="s">
        <v>111</v>
      </c>
      <c r="B2359" t="s">
        <v>103</v>
      </c>
      <c r="C2359" s="5">
        <v>45449</v>
      </c>
      <c r="D2359">
        <v>30</v>
      </c>
      <c r="E2359">
        <f>WEEKNUM(Append321[[#This Row],[Date]])</f>
        <v>23</v>
      </c>
    </row>
    <row r="2360" spans="1:5">
      <c r="A2360" t="s">
        <v>111</v>
      </c>
      <c r="B2360" t="s">
        <v>103</v>
      </c>
      <c r="C2360" s="5">
        <v>45450</v>
      </c>
      <c r="D2360">
        <v>27</v>
      </c>
      <c r="E2360">
        <f>WEEKNUM(Append321[[#This Row],[Date]])</f>
        <v>23</v>
      </c>
    </row>
    <row r="2361" spans="1:5">
      <c r="A2361" t="s">
        <v>111</v>
      </c>
      <c r="B2361" t="s">
        <v>103</v>
      </c>
      <c r="C2361" s="5">
        <v>45451</v>
      </c>
      <c r="D2361">
        <v>26</v>
      </c>
      <c r="E2361">
        <f>WEEKNUM(Append321[[#This Row],[Date]])</f>
        <v>23</v>
      </c>
    </row>
    <row r="2362" spans="1:5">
      <c r="A2362" t="s">
        <v>111</v>
      </c>
      <c r="B2362" t="s">
        <v>103</v>
      </c>
      <c r="C2362" s="5">
        <v>45452</v>
      </c>
      <c r="D2362">
        <v>40</v>
      </c>
      <c r="E2362">
        <f>WEEKNUM(Append321[[#This Row],[Date]])</f>
        <v>24</v>
      </c>
    </row>
    <row r="2363" spans="1:5">
      <c r="A2363" t="s">
        <v>111</v>
      </c>
      <c r="B2363" t="s">
        <v>103</v>
      </c>
      <c r="C2363" s="5">
        <v>45453</v>
      </c>
      <c r="D2363">
        <v>27</v>
      </c>
      <c r="E2363">
        <f>WEEKNUM(Append321[[#This Row],[Date]])</f>
        <v>24</v>
      </c>
    </row>
    <row r="2364" spans="1:5">
      <c r="A2364" t="s">
        <v>111</v>
      </c>
      <c r="B2364" t="s">
        <v>103</v>
      </c>
      <c r="C2364" s="5">
        <v>45454</v>
      </c>
      <c r="D2364">
        <v>32</v>
      </c>
      <c r="E2364">
        <f>WEEKNUM(Append321[[#This Row],[Date]])</f>
        <v>24</v>
      </c>
    </row>
    <row r="2365" spans="1:5">
      <c r="A2365" t="s">
        <v>111</v>
      </c>
      <c r="B2365" t="s">
        <v>103</v>
      </c>
      <c r="C2365" s="5">
        <v>45455</v>
      </c>
      <c r="D2365">
        <v>28</v>
      </c>
      <c r="E2365">
        <f>WEEKNUM(Append321[[#This Row],[Date]])</f>
        <v>24</v>
      </c>
    </row>
    <row r="2366" spans="1:5">
      <c r="A2366" t="s">
        <v>111</v>
      </c>
      <c r="B2366" t="s">
        <v>103</v>
      </c>
      <c r="C2366" s="5">
        <v>45456</v>
      </c>
      <c r="D2366">
        <v>25</v>
      </c>
      <c r="E2366">
        <f>WEEKNUM(Append321[[#This Row],[Date]])</f>
        <v>24</v>
      </c>
    </row>
    <row r="2367" spans="1:5">
      <c r="A2367" t="s">
        <v>111</v>
      </c>
      <c r="B2367" t="s">
        <v>103</v>
      </c>
      <c r="C2367" s="5">
        <v>45457</v>
      </c>
      <c r="D2367">
        <v>35</v>
      </c>
      <c r="E2367">
        <f>WEEKNUM(Append321[[#This Row],[Date]])</f>
        <v>24</v>
      </c>
    </row>
    <row r="2368" spans="1:5">
      <c r="A2368" t="s">
        <v>111</v>
      </c>
      <c r="B2368" t="s">
        <v>103</v>
      </c>
      <c r="C2368" s="5">
        <v>45458</v>
      </c>
      <c r="D2368">
        <v>26</v>
      </c>
      <c r="E2368">
        <f>WEEKNUM(Append321[[#This Row],[Date]])</f>
        <v>24</v>
      </c>
    </row>
    <row r="2369" spans="1:5">
      <c r="A2369" t="s">
        <v>111</v>
      </c>
      <c r="B2369" t="s">
        <v>103</v>
      </c>
      <c r="C2369" s="5">
        <v>45459</v>
      </c>
      <c r="D2369">
        <v>25</v>
      </c>
      <c r="E2369">
        <f>WEEKNUM(Append321[[#This Row],[Date]])</f>
        <v>25</v>
      </c>
    </row>
    <row r="2370" spans="1:5">
      <c r="A2370" t="s">
        <v>111</v>
      </c>
      <c r="B2370" t="s">
        <v>103</v>
      </c>
      <c r="C2370" s="5">
        <v>45460</v>
      </c>
      <c r="D2370">
        <v>15</v>
      </c>
      <c r="E2370">
        <f>WEEKNUM(Append321[[#This Row],[Date]])</f>
        <v>25</v>
      </c>
    </row>
    <row r="2371" spans="1:5">
      <c r="A2371" t="s">
        <v>111</v>
      </c>
      <c r="B2371" t="s">
        <v>103</v>
      </c>
      <c r="C2371" s="5">
        <v>45461</v>
      </c>
      <c r="D2371">
        <v>17</v>
      </c>
      <c r="E2371">
        <f>WEEKNUM(Append321[[#This Row],[Date]])</f>
        <v>25</v>
      </c>
    </row>
    <row r="2372" spans="1:5">
      <c r="A2372" t="s">
        <v>111</v>
      </c>
      <c r="B2372" t="s">
        <v>103</v>
      </c>
      <c r="C2372" s="5">
        <v>45462</v>
      </c>
      <c r="D2372">
        <v>17</v>
      </c>
      <c r="E2372">
        <f>WEEKNUM(Append321[[#This Row],[Date]])</f>
        <v>25</v>
      </c>
    </row>
    <row r="2373" spans="1:5">
      <c r="A2373" t="s">
        <v>111</v>
      </c>
      <c r="B2373" t="s">
        <v>103</v>
      </c>
      <c r="C2373" s="5">
        <v>45463</v>
      </c>
      <c r="D2373">
        <v>16</v>
      </c>
      <c r="E2373">
        <f>WEEKNUM(Append321[[#This Row],[Date]])</f>
        <v>25</v>
      </c>
    </row>
    <row r="2374" spans="1:5">
      <c r="A2374" t="s">
        <v>111</v>
      </c>
      <c r="B2374" t="s">
        <v>103</v>
      </c>
      <c r="C2374" s="5">
        <v>45464</v>
      </c>
      <c r="D2374">
        <v>22</v>
      </c>
      <c r="E2374">
        <f>WEEKNUM(Append321[[#This Row],[Date]])</f>
        <v>25</v>
      </c>
    </row>
    <row r="2375" spans="1:5">
      <c r="A2375" t="s">
        <v>111</v>
      </c>
      <c r="B2375" t="s">
        <v>103</v>
      </c>
      <c r="C2375" s="5">
        <v>45465</v>
      </c>
      <c r="D2375">
        <v>26</v>
      </c>
      <c r="E2375">
        <f>WEEKNUM(Append321[[#This Row],[Date]])</f>
        <v>25</v>
      </c>
    </row>
    <row r="2376" spans="1:5">
      <c r="A2376" t="s">
        <v>111</v>
      </c>
      <c r="B2376" t="s">
        <v>103</v>
      </c>
      <c r="C2376" s="5">
        <v>45466</v>
      </c>
      <c r="D2376">
        <v>24</v>
      </c>
      <c r="E2376">
        <f>WEEKNUM(Append321[[#This Row],[Date]])</f>
        <v>26</v>
      </c>
    </row>
    <row r="2377" spans="1:5">
      <c r="A2377" t="s">
        <v>111</v>
      </c>
      <c r="B2377" t="s">
        <v>103</v>
      </c>
      <c r="C2377" s="5">
        <v>45467</v>
      </c>
      <c r="D2377">
        <v>24</v>
      </c>
      <c r="E2377">
        <f>WEEKNUM(Append321[[#This Row],[Date]])</f>
        <v>26</v>
      </c>
    </row>
    <row r="2378" spans="1:5">
      <c r="A2378" t="s">
        <v>111</v>
      </c>
      <c r="B2378" t="s">
        <v>103</v>
      </c>
      <c r="C2378" s="5">
        <v>45468</v>
      </c>
      <c r="D2378">
        <v>20</v>
      </c>
      <c r="E2378">
        <f>WEEKNUM(Append321[[#This Row],[Date]])</f>
        <v>26</v>
      </c>
    </row>
    <row r="2379" spans="1:5">
      <c r="A2379" t="s">
        <v>111</v>
      </c>
      <c r="B2379" t="s">
        <v>103</v>
      </c>
      <c r="C2379" s="5">
        <v>45469</v>
      </c>
      <c r="D2379">
        <v>12</v>
      </c>
      <c r="E2379">
        <f>WEEKNUM(Append321[[#This Row],[Date]])</f>
        <v>26</v>
      </c>
    </row>
    <row r="2380" spans="1:5">
      <c r="A2380" t="s">
        <v>111</v>
      </c>
      <c r="B2380" t="s">
        <v>103</v>
      </c>
      <c r="C2380" s="5">
        <v>45470</v>
      </c>
      <c r="D2380">
        <v>16</v>
      </c>
      <c r="E2380">
        <f>WEEKNUM(Append321[[#This Row],[Date]])</f>
        <v>26</v>
      </c>
    </row>
    <row r="2381" spans="1:5">
      <c r="A2381" t="s">
        <v>111</v>
      </c>
      <c r="B2381" t="s">
        <v>103</v>
      </c>
      <c r="C2381" s="5">
        <v>45471</v>
      </c>
      <c r="D2381">
        <v>19</v>
      </c>
      <c r="E2381">
        <f>WEEKNUM(Append321[[#This Row],[Date]])</f>
        <v>26</v>
      </c>
    </row>
    <row r="2382" spans="1:5">
      <c r="A2382" t="s">
        <v>111</v>
      </c>
      <c r="B2382" t="s">
        <v>103</v>
      </c>
      <c r="C2382" s="5">
        <v>45472</v>
      </c>
      <c r="D2382">
        <v>26</v>
      </c>
      <c r="E2382">
        <f>WEEKNUM(Append321[[#This Row],[Date]])</f>
        <v>26</v>
      </c>
    </row>
    <row r="2383" spans="1:5">
      <c r="A2383" t="s">
        <v>111</v>
      </c>
      <c r="B2383" t="s">
        <v>103</v>
      </c>
      <c r="C2383" s="5">
        <v>45473</v>
      </c>
      <c r="D2383">
        <v>20</v>
      </c>
      <c r="E2383">
        <f>WEEKNUM(Append321[[#This Row],[Date]])</f>
        <v>27</v>
      </c>
    </row>
    <row r="2384" spans="1:5">
      <c r="A2384" t="s">
        <v>111</v>
      </c>
      <c r="B2384" t="s">
        <v>103</v>
      </c>
      <c r="C2384" s="5">
        <v>45474</v>
      </c>
      <c r="D2384">
        <v>16</v>
      </c>
      <c r="E2384">
        <f>WEEKNUM(Append321[[#This Row],[Date]])</f>
        <v>27</v>
      </c>
    </row>
    <row r="2385" spans="1:5">
      <c r="A2385" t="s">
        <v>111</v>
      </c>
      <c r="B2385" t="s">
        <v>103</v>
      </c>
      <c r="C2385" s="5">
        <v>45475</v>
      </c>
      <c r="D2385">
        <v>15</v>
      </c>
      <c r="E2385">
        <f>WEEKNUM(Append321[[#This Row],[Date]])</f>
        <v>27</v>
      </c>
    </row>
    <row r="2386" spans="1:5">
      <c r="A2386" t="s">
        <v>111</v>
      </c>
      <c r="B2386" t="s">
        <v>103</v>
      </c>
      <c r="C2386" s="5">
        <v>45476</v>
      </c>
      <c r="D2386">
        <v>15</v>
      </c>
      <c r="E2386">
        <f>WEEKNUM(Append321[[#This Row],[Date]])</f>
        <v>27</v>
      </c>
    </row>
    <row r="2387" spans="1:5">
      <c r="A2387" t="s">
        <v>111</v>
      </c>
      <c r="B2387" t="s">
        <v>103</v>
      </c>
      <c r="C2387" s="5">
        <v>45477</v>
      </c>
      <c r="D2387">
        <v>12</v>
      </c>
      <c r="E2387">
        <f>WEEKNUM(Append321[[#This Row],[Date]])</f>
        <v>27</v>
      </c>
    </row>
    <row r="2388" spans="1:5">
      <c r="A2388" t="s">
        <v>111</v>
      </c>
      <c r="B2388" t="s">
        <v>103</v>
      </c>
      <c r="C2388" s="5">
        <v>45478</v>
      </c>
      <c r="D2388">
        <v>24</v>
      </c>
      <c r="E2388">
        <f>WEEKNUM(Append321[[#This Row],[Date]])</f>
        <v>27</v>
      </c>
    </row>
    <row r="2389" spans="1:5">
      <c r="A2389" t="s">
        <v>111</v>
      </c>
      <c r="B2389" t="s">
        <v>103</v>
      </c>
      <c r="C2389" s="5">
        <v>45479</v>
      </c>
      <c r="D2389">
        <v>30</v>
      </c>
      <c r="E2389">
        <f>WEEKNUM(Append321[[#This Row],[Date]])</f>
        <v>27</v>
      </c>
    </row>
    <row r="2390" spans="1:5">
      <c r="A2390" t="s">
        <v>111</v>
      </c>
      <c r="B2390" t="s">
        <v>103</v>
      </c>
      <c r="C2390" s="5">
        <v>45480</v>
      </c>
      <c r="D2390">
        <v>31</v>
      </c>
      <c r="E2390">
        <f>WEEKNUM(Append321[[#This Row],[Date]])</f>
        <v>28</v>
      </c>
    </row>
    <row r="2391" spans="1:5">
      <c r="A2391" t="s">
        <v>111</v>
      </c>
      <c r="B2391" t="s">
        <v>103</v>
      </c>
      <c r="C2391" s="5">
        <v>45481</v>
      </c>
      <c r="D2391">
        <v>19</v>
      </c>
      <c r="E2391">
        <f>WEEKNUM(Append321[[#This Row],[Date]])</f>
        <v>28</v>
      </c>
    </row>
    <row r="2392" spans="1:5">
      <c r="A2392" t="s">
        <v>111</v>
      </c>
      <c r="B2392" t="s">
        <v>103</v>
      </c>
      <c r="C2392" s="5">
        <v>45482</v>
      </c>
      <c r="D2392">
        <v>15</v>
      </c>
      <c r="E2392">
        <f>WEEKNUM(Append321[[#This Row],[Date]])</f>
        <v>28</v>
      </c>
    </row>
    <row r="2393" spans="1:5">
      <c r="A2393" t="s">
        <v>111</v>
      </c>
      <c r="B2393" t="s">
        <v>103</v>
      </c>
      <c r="C2393" s="5">
        <v>45483</v>
      </c>
      <c r="D2393">
        <v>25</v>
      </c>
      <c r="E2393">
        <f>WEEKNUM(Append321[[#This Row],[Date]])</f>
        <v>28</v>
      </c>
    </row>
    <row r="2394" spans="1:5">
      <c r="A2394" t="s">
        <v>111</v>
      </c>
      <c r="B2394" t="s">
        <v>103</v>
      </c>
      <c r="C2394" s="5">
        <v>45484</v>
      </c>
      <c r="D2394">
        <v>13</v>
      </c>
      <c r="E2394">
        <f>WEEKNUM(Append321[[#This Row],[Date]])</f>
        <v>28</v>
      </c>
    </row>
    <row r="2395" spans="1:5">
      <c r="A2395" t="s">
        <v>111</v>
      </c>
      <c r="B2395" t="s">
        <v>103</v>
      </c>
      <c r="C2395" s="5">
        <v>45485</v>
      </c>
      <c r="D2395">
        <v>27</v>
      </c>
      <c r="E2395">
        <f>WEEKNUM(Append321[[#This Row],[Date]])</f>
        <v>28</v>
      </c>
    </row>
    <row r="2396" spans="1:5">
      <c r="A2396" t="s">
        <v>111</v>
      </c>
      <c r="B2396" t="s">
        <v>103</v>
      </c>
      <c r="C2396" s="5">
        <v>45486</v>
      </c>
      <c r="D2396">
        <v>28</v>
      </c>
      <c r="E2396">
        <f>WEEKNUM(Append321[[#This Row],[Date]])</f>
        <v>28</v>
      </c>
    </row>
    <row r="2397" spans="1:5">
      <c r="A2397" t="s">
        <v>111</v>
      </c>
      <c r="B2397" t="s">
        <v>103</v>
      </c>
      <c r="C2397" s="5">
        <v>45487</v>
      </c>
      <c r="D2397">
        <v>18</v>
      </c>
      <c r="E2397">
        <f>WEEKNUM(Append321[[#This Row],[Date]])</f>
        <v>29</v>
      </c>
    </row>
    <row r="2398" spans="1:5">
      <c r="A2398" t="s">
        <v>111</v>
      </c>
      <c r="B2398" t="s">
        <v>103</v>
      </c>
      <c r="C2398" s="5">
        <v>45488</v>
      </c>
      <c r="D2398">
        <v>29</v>
      </c>
      <c r="E2398">
        <f>WEEKNUM(Append321[[#This Row],[Date]])</f>
        <v>29</v>
      </c>
    </row>
    <row r="2399" spans="1:5">
      <c r="A2399" t="s">
        <v>111</v>
      </c>
      <c r="B2399" t="s">
        <v>103</v>
      </c>
      <c r="C2399" s="5">
        <v>45489</v>
      </c>
      <c r="D2399">
        <v>17</v>
      </c>
      <c r="E2399">
        <f>WEEKNUM(Append321[[#This Row],[Date]])</f>
        <v>29</v>
      </c>
    </row>
    <row r="2400" spans="1:5">
      <c r="A2400" t="s">
        <v>111</v>
      </c>
      <c r="B2400" t="s">
        <v>103</v>
      </c>
      <c r="C2400" s="5">
        <v>45490</v>
      </c>
      <c r="D2400">
        <v>26</v>
      </c>
      <c r="E2400">
        <f>WEEKNUM(Append321[[#This Row],[Date]])</f>
        <v>29</v>
      </c>
    </row>
    <row r="2401" spans="1:5">
      <c r="A2401" t="s">
        <v>111</v>
      </c>
      <c r="B2401" t="s">
        <v>103</v>
      </c>
      <c r="C2401" s="5">
        <v>45491</v>
      </c>
      <c r="D2401">
        <v>19</v>
      </c>
      <c r="E2401">
        <f>WEEKNUM(Append321[[#This Row],[Date]])</f>
        <v>29</v>
      </c>
    </row>
    <row r="2402" spans="1:5">
      <c r="A2402" t="s">
        <v>111</v>
      </c>
      <c r="B2402" t="s">
        <v>103</v>
      </c>
      <c r="C2402" s="5">
        <v>45492</v>
      </c>
      <c r="D2402">
        <v>28</v>
      </c>
      <c r="E2402">
        <f>WEEKNUM(Append321[[#This Row],[Date]])</f>
        <v>29</v>
      </c>
    </row>
    <row r="2403" spans="1:5">
      <c r="A2403" t="s">
        <v>111</v>
      </c>
      <c r="B2403" t="s">
        <v>103</v>
      </c>
      <c r="C2403" s="5">
        <v>45493</v>
      </c>
      <c r="D2403">
        <v>26</v>
      </c>
      <c r="E2403">
        <f>WEEKNUM(Append321[[#This Row],[Date]])</f>
        <v>29</v>
      </c>
    </row>
    <row r="2404" spans="1:5">
      <c r="A2404" t="s">
        <v>111</v>
      </c>
      <c r="B2404" t="s">
        <v>103</v>
      </c>
      <c r="C2404" s="5">
        <v>45494</v>
      </c>
      <c r="D2404">
        <v>27</v>
      </c>
      <c r="E2404">
        <f>WEEKNUM(Append321[[#This Row],[Date]])</f>
        <v>30</v>
      </c>
    </row>
    <row r="2405" spans="1:5">
      <c r="A2405" t="s">
        <v>111</v>
      </c>
      <c r="B2405" t="s">
        <v>103</v>
      </c>
      <c r="C2405" s="5">
        <v>45495</v>
      </c>
      <c r="D2405">
        <v>26</v>
      </c>
      <c r="E2405">
        <f>WEEKNUM(Append321[[#This Row],[Date]])</f>
        <v>30</v>
      </c>
    </row>
    <row r="2406" spans="1:5">
      <c r="A2406" t="s">
        <v>111</v>
      </c>
      <c r="B2406" t="s">
        <v>103</v>
      </c>
      <c r="C2406" s="5">
        <v>45496</v>
      </c>
      <c r="D2406">
        <v>23</v>
      </c>
      <c r="E2406">
        <f>WEEKNUM(Append321[[#This Row],[Date]])</f>
        <v>30</v>
      </c>
    </row>
    <row r="2407" spans="1:5">
      <c r="A2407" t="s">
        <v>111</v>
      </c>
      <c r="B2407" t="s">
        <v>103</v>
      </c>
      <c r="C2407" s="5">
        <v>45497</v>
      </c>
      <c r="D2407">
        <v>26</v>
      </c>
      <c r="E2407">
        <f>WEEKNUM(Append321[[#This Row],[Date]])</f>
        <v>30</v>
      </c>
    </row>
    <row r="2408" spans="1:5">
      <c r="A2408" t="s">
        <v>111</v>
      </c>
      <c r="B2408" t="s">
        <v>103</v>
      </c>
      <c r="C2408" s="5">
        <v>45498</v>
      </c>
      <c r="D2408">
        <v>24</v>
      </c>
      <c r="E2408">
        <f>WEEKNUM(Append321[[#This Row],[Date]])</f>
        <v>30</v>
      </c>
    </row>
    <row r="2409" spans="1:5">
      <c r="A2409" t="s">
        <v>111</v>
      </c>
      <c r="B2409" t="s">
        <v>103</v>
      </c>
      <c r="C2409" s="5">
        <v>45499</v>
      </c>
      <c r="D2409">
        <v>25</v>
      </c>
      <c r="E2409">
        <f>WEEKNUM(Append321[[#This Row],[Date]])</f>
        <v>30</v>
      </c>
    </row>
    <row r="2410" spans="1:5">
      <c r="A2410" t="s">
        <v>111</v>
      </c>
      <c r="B2410" t="s">
        <v>103</v>
      </c>
      <c r="C2410" s="5">
        <v>45500</v>
      </c>
      <c r="D2410">
        <v>28</v>
      </c>
      <c r="E2410">
        <f>WEEKNUM(Append321[[#This Row],[Date]])</f>
        <v>30</v>
      </c>
    </row>
    <row r="2411" spans="1:5">
      <c r="A2411" t="s">
        <v>111</v>
      </c>
      <c r="B2411" t="s">
        <v>103</v>
      </c>
      <c r="C2411" s="5">
        <v>45501</v>
      </c>
      <c r="D2411">
        <v>22</v>
      </c>
      <c r="E2411">
        <f>WEEKNUM(Append321[[#This Row],[Date]])</f>
        <v>31</v>
      </c>
    </row>
    <row r="2412" spans="1:5">
      <c r="A2412" t="s">
        <v>111</v>
      </c>
      <c r="B2412" t="s">
        <v>103</v>
      </c>
      <c r="C2412" s="5">
        <v>45502</v>
      </c>
      <c r="D2412">
        <v>18</v>
      </c>
      <c r="E2412">
        <f>WEEKNUM(Append321[[#This Row],[Date]])</f>
        <v>31</v>
      </c>
    </row>
    <row r="2413" spans="1:5">
      <c r="A2413" t="s">
        <v>111</v>
      </c>
      <c r="B2413" t="s">
        <v>103</v>
      </c>
      <c r="C2413" s="5">
        <v>45503</v>
      </c>
      <c r="D2413">
        <v>30</v>
      </c>
      <c r="E2413">
        <f>WEEKNUM(Append321[[#This Row],[Date]])</f>
        <v>31</v>
      </c>
    </row>
    <row r="2414" spans="1:5">
      <c r="A2414" t="s">
        <v>111</v>
      </c>
      <c r="B2414" t="s">
        <v>103</v>
      </c>
      <c r="C2414" s="5">
        <v>45504</v>
      </c>
      <c r="D2414">
        <v>31</v>
      </c>
      <c r="E2414">
        <f>WEEKNUM(Append321[[#This Row],[Date]])</f>
        <v>31</v>
      </c>
    </row>
    <row r="2415" spans="1:5">
      <c r="A2415" t="s">
        <v>111</v>
      </c>
      <c r="B2415" t="s">
        <v>103</v>
      </c>
      <c r="C2415" s="5">
        <v>45505</v>
      </c>
      <c r="D2415">
        <v>23</v>
      </c>
      <c r="E2415">
        <f>WEEKNUM(Append321[[#This Row],[Date]])</f>
        <v>31</v>
      </c>
    </row>
    <row r="2416" spans="1:5">
      <c r="A2416" t="s">
        <v>111</v>
      </c>
      <c r="B2416" t="s">
        <v>103</v>
      </c>
      <c r="C2416" s="5">
        <v>45506</v>
      </c>
      <c r="D2416">
        <v>26</v>
      </c>
      <c r="E2416">
        <f>WEEKNUM(Append321[[#This Row],[Date]])</f>
        <v>31</v>
      </c>
    </row>
    <row r="2417" spans="1:5">
      <c r="A2417" t="s">
        <v>111</v>
      </c>
      <c r="B2417" t="s">
        <v>103</v>
      </c>
      <c r="C2417" s="5">
        <v>45507</v>
      </c>
      <c r="D2417">
        <v>30</v>
      </c>
      <c r="E2417">
        <f>WEEKNUM(Append321[[#This Row],[Date]])</f>
        <v>31</v>
      </c>
    </row>
    <row r="2418" spans="1:5">
      <c r="A2418" t="s">
        <v>111</v>
      </c>
      <c r="B2418" t="s">
        <v>103</v>
      </c>
      <c r="C2418" s="5">
        <v>45508</v>
      </c>
      <c r="D2418">
        <v>27</v>
      </c>
      <c r="E2418">
        <f>WEEKNUM(Append321[[#This Row],[Date]])</f>
        <v>32</v>
      </c>
    </row>
    <row r="2419" spans="1:5">
      <c r="A2419" t="s">
        <v>111</v>
      </c>
      <c r="B2419" t="s">
        <v>103</v>
      </c>
      <c r="C2419" s="5">
        <v>45509</v>
      </c>
      <c r="D2419">
        <v>25</v>
      </c>
      <c r="E2419">
        <f>WEEKNUM(Append321[[#This Row],[Date]])</f>
        <v>32</v>
      </c>
    </row>
    <row r="2420" spans="1:5">
      <c r="A2420" t="s">
        <v>111</v>
      </c>
      <c r="B2420" t="s">
        <v>103</v>
      </c>
      <c r="C2420" s="5">
        <v>45510</v>
      </c>
      <c r="D2420">
        <v>25</v>
      </c>
      <c r="E2420">
        <f>WEEKNUM(Append321[[#This Row],[Date]])</f>
        <v>32</v>
      </c>
    </row>
    <row r="2421" spans="1:5">
      <c r="A2421" t="s">
        <v>111</v>
      </c>
      <c r="B2421" t="s">
        <v>103</v>
      </c>
      <c r="C2421" s="5">
        <v>45511</v>
      </c>
      <c r="D2421">
        <v>25</v>
      </c>
      <c r="E2421">
        <f>WEEKNUM(Append321[[#This Row],[Date]])</f>
        <v>32</v>
      </c>
    </row>
    <row r="2422" spans="1:5">
      <c r="A2422" t="s">
        <v>111</v>
      </c>
      <c r="B2422" t="s">
        <v>103</v>
      </c>
      <c r="C2422" s="5">
        <v>45512</v>
      </c>
      <c r="D2422">
        <v>21</v>
      </c>
      <c r="E2422">
        <f>WEEKNUM(Append321[[#This Row],[Date]])</f>
        <v>32</v>
      </c>
    </row>
    <row r="2423" spans="1:5">
      <c r="A2423" t="s">
        <v>111</v>
      </c>
      <c r="B2423" t="s">
        <v>103</v>
      </c>
      <c r="C2423" s="5">
        <v>45513</v>
      </c>
      <c r="D2423">
        <v>33</v>
      </c>
      <c r="E2423">
        <f>WEEKNUM(Append321[[#This Row],[Date]])</f>
        <v>32</v>
      </c>
    </row>
    <row r="2424" spans="1:5">
      <c r="A2424" t="s">
        <v>111</v>
      </c>
      <c r="B2424" t="s">
        <v>103</v>
      </c>
      <c r="C2424" s="5">
        <v>45514</v>
      </c>
      <c r="D2424">
        <v>35</v>
      </c>
      <c r="E2424">
        <f>WEEKNUM(Append321[[#This Row],[Date]])</f>
        <v>32</v>
      </c>
    </row>
    <row r="2425" spans="1:5">
      <c r="A2425" t="s">
        <v>111</v>
      </c>
      <c r="B2425" t="s">
        <v>103</v>
      </c>
      <c r="C2425" s="5">
        <v>45515</v>
      </c>
      <c r="D2425">
        <v>24</v>
      </c>
      <c r="E2425">
        <f>WEEKNUM(Append321[[#This Row],[Date]])</f>
        <v>33</v>
      </c>
    </row>
    <row r="2426" spans="1:5">
      <c r="A2426" t="s">
        <v>111</v>
      </c>
      <c r="B2426" t="s">
        <v>103</v>
      </c>
      <c r="C2426" s="5">
        <v>45516</v>
      </c>
      <c r="D2426">
        <v>29</v>
      </c>
      <c r="E2426">
        <f>WEEKNUM(Append321[[#This Row],[Date]])</f>
        <v>33</v>
      </c>
    </row>
    <row r="2427" spans="1:5">
      <c r="A2427" t="s">
        <v>111</v>
      </c>
      <c r="B2427" t="s">
        <v>103</v>
      </c>
      <c r="C2427" s="5">
        <v>45517</v>
      </c>
      <c r="D2427">
        <v>55</v>
      </c>
      <c r="E2427">
        <f>WEEKNUM(Append321[[#This Row],[Date]])</f>
        <v>33</v>
      </c>
    </row>
    <row r="2428" spans="1:5">
      <c r="A2428" t="s">
        <v>111</v>
      </c>
      <c r="B2428" t="s">
        <v>103</v>
      </c>
      <c r="C2428" s="5">
        <v>45518</v>
      </c>
      <c r="D2428">
        <v>40</v>
      </c>
      <c r="E2428">
        <f>WEEKNUM(Append321[[#This Row],[Date]])</f>
        <v>33</v>
      </c>
    </row>
    <row r="2429" spans="1:5">
      <c r="A2429" t="s">
        <v>111</v>
      </c>
      <c r="B2429" t="s">
        <v>103</v>
      </c>
      <c r="C2429" s="5">
        <v>45519</v>
      </c>
      <c r="D2429">
        <v>27</v>
      </c>
      <c r="E2429">
        <f>WEEKNUM(Append321[[#This Row],[Date]])</f>
        <v>33</v>
      </c>
    </row>
    <row r="2430" spans="1:5">
      <c r="A2430" t="s">
        <v>111</v>
      </c>
      <c r="B2430" t="s">
        <v>103</v>
      </c>
      <c r="C2430" s="5">
        <v>45520</v>
      </c>
      <c r="D2430">
        <v>21</v>
      </c>
      <c r="E2430">
        <f>WEEKNUM(Append321[[#This Row],[Date]])</f>
        <v>33</v>
      </c>
    </row>
    <row r="2431" spans="1:5">
      <c r="A2431" t="s">
        <v>111</v>
      </c>
      <c r="B2431" t="s">
        <v>103</v>
      </c>
      <c r="C2431" s="5">
        <v>45521</v>
      </c>
      <c r="D2431">
        <v>19</v>
      </c>
      <c r="E2431">
        <f>WEEKNUM(Append321[[#This Row],[Date]])</f>
        <v>33</v>
      </c>
    </row>
    <row r="2432" spans="1:5">
      <c r="A2432" t="s">
        <v>111</v>
      </c>
      <c r="B2432" t="s">
        <v>103</v>
      </c>
      <c r="C2432" s="5">
        <v>45522</v>
      </c>
      <c r="D2432">
        <v>28</v>
      </c>
      <c r="E2432">
        <f>WEEKNUM(Append321[[#This Row],[Date]])</f>
        <v>34</v>
      </c>
    </row>
    <row r="2433" spans="1:5">
      <c r="A2433" t="s">
        <v>111</v>
      </c>
      <c r="B2433" t="s">
        <v>103</v>
      </c>
      <c r="C2433" s="5">
        <v>45523</v>
      </c>
      <c r="D2433">
        <v>38</v>
      </c>
      <c r="E2433">
        <f>WEEKNUM(Append321[[#This Row],[Date]])</f>
        <v>34</v>
      </c>
    </row>
    <row r="2434" spans="1:5">
      <c r="A2434" t="s">
        <v>111</v>
      </c>
      <c r="B2434" t="s">
        <v>103</v>
      </c>
      <c r="C2434" s="5">
        <v>45524</v>
      </c>
      <c r="D2434">
        <v>33</v>
      </c>
      <c r="E2434">
        <f>WEEKNUM(Append321[[#This Row],[Date]])</f>
        <v>34</v>
      </c>
    </row>
    <row r="2435" spans="1:5">
      <c r="A2435" t="s">
        <v>111</v>
      </c>
      <c r="B2435" t="s">
        <v>103</v>
      </c>
      <c r="C2435" s="5">
        <v>45525</v>
      </c>
      <c r="D2435">
        <v>30</v>
      </c>
      <c r="E2435">
        <f>WEEKNUM(Append321[[#This Row],[Date]])</f>
        <v>34</v>
      </c>
    </row>
    <row r="2436" spans="1:5">
      <c r="A2436" t="s">
        <v>111</v>
      </c>
      <c r="B2436" t="s">
        <v>103</v>
      </c>
      <c r="C2436" s="5">
        <v>45526</v>
      </c>
      <c r="D2436">
        <v>27</v>
      </c>
      <c r="E2436">
        <f>WEEKNUM(Append321[[#This Row],[Date]])</f>
        <v>34</v>
      </c>
    </row>
    <row r="2437" spans="1:5">
      <c r="A2437" t="s">
        <v>111</v>
      </c>
      <c r="B2437" t="s">
        <v>103</v>
      </c>
      <c r="C2437" s="5">
        <v>45527</v>
      </c>
      <c r="D2437">
        <v>22</v>
      </c>
      <c r="E2437">
        <f>WEEKNUM(Append321[[#This Row],[Date]])</f>
        <v>34</v>
      </c>
    </row>
    <row r="2438" spans="1:5">
      <c r="A2438" t="s">
        <v>111</v>
      </c>
      <c r="B2438" t="s">
        <v>103</v>
      </c>
      <c r="C2438" s="5">
        <v>45528</v>
      </c>
      <c r="D2438">
        <v>20</v>
      </c>
      <c r="E2438">
        <f>WEEKNUM(Append321[[#This Row],[Date]])</f>
        <v>34</v>
      </c>
    </row>
    <row r="2439" spans="1:5">
      <c r="A2439" t="s">
        <v>111</v>
      </c>
      <c r="B2439" t="s">
        <v>103</v>
      </c>
      <c r="C2439" s="5">
        <v>45529</v>
      </c>
      <c r="D2439">
        <v>19</v>
      </c>
      <c r="E2439">
        <f>WEEKNUM(Append321[[#This Row],[Date]])</f>
        <v>35</v>
      </c>
    </row>
    <row r="2440" spans="1:5">
      <c r="A2440" t="s">
        <v>111</v>
      </c>
      <c r="B2440" t="s">
        <v>103</v>
      </c>
      <c r="C2440" s="5">
        <v>45530</v>
      </c>
      <c r="D2440">
        <v>23</v>
      </c>
      <c r="E2440">
        <f>WEEKNUM(Append321[[#This Row],[Date]])</f>
        <v>35</v>
      </c>
    </row>
    <row r="2441" spans="1:5">
      <c r="A2441" t="s">
        <v>111</v>
      </c>
      <c r="B2441" t="s">
        <v>103</v>
      </c>
      <c r="C2441" s="5">
        <v>45531</v>
      </c>
      <c r="D2441">
        <v>19</v>
      </c>
      <c r="E2441">
        <f>WEEKNUM(Append321[[#This Row],[Date]])</f>
        <v>35</v>
      </c>
    </row>
    <row r="2442" spans="1:5">
      <c r="A2442" t="s">
        <v>111</v>
      </c>
      <c r="B2442" t="s">
        <v>103</v>
      </c>
      <c r="C2442" s="5">
        <v>45532</v>
      </c>
      <c r="D2442">
        <v>23</v>
      </c>
      <c r="E2442">
        <f>WEEKNUM(Append321[[#This Row],[Date]])</f>
        <v>35</v>
      </c>
    </row>
    <row r="2443" spans="1:5">
      <c r="A2443" t="s">
        <v>111</v>
      </c>
      <c r="B2443" t="s">
        <v>103</v>
      </c>
      <c r="C2443" s="5">
        <v>45533</v>
      </c>
      <c r="D2443">
        <v>18</v>
      </c>
      <c r="E2443">
        <f>WEEKNUM(Append321[[#This Row],[Date]])</f>
        <v>35</v>
      </c>
    </row>
    <row r="2444" spans="1:5">
      <c r="A2444" t="s">
        <v>111</v>
      </c>
      <c r="B2444" t="s">
        <v>103</v>
      </c>
      <c r="C2444" s="5">
        <v>45534</v>
      </c>
      <c r="D2444">
        <v>16</v>
      </c>
      <c r="E2444">
        <f>WEEKNUM(Append321[[#This Row],[Date]])</f>
        <v>35</v>
      </c>
    </row>
    <row r="2445" spans="1:5">
      <c r="A2445" t="s">
        <v>111</v>
      </c>
      <c r="B2445" t="s">
        <v>103</v>
      </c>
      <c r="C2445" s="5">
        <v>45535</v>
      </c>
      <c r="D2445">
        <v>23</v>
      </c>
      <c r="E2445">
        <f>WEEKNUM(Append321[[#This Row],[Date]])</f>
        <v>35</v>
      </c>
    </row>
    <row r="2446" spans="1:5">
      <c r="A2446" t="s">
        <v>111</v>
      </c>
      <c r="B2446" t="s">
        <v>104</v>
      </c>
      <c r="C2446" s="5">
        <v>45444</v>
      </c>
      <c r="D2446">
        <v>150</v>
      </c>
      <c r="E2446">
        <f>WEEKNUM(Append321[[#This Row],[Date]])</f>
        <v>22</v>
      </c>
    </row>
    <row r="2447" spans="1:5">
      <c r="A2447" t="s">
        <v>111</v>
      </c>
      <c r="B2447" t="s">
        <v>104</v>
      </c>
      <c r="C2447" s="5">
        <v>45445</v>
      </c>
      <c r="D2447">
        <v>95</v>
      </c>
      <c r="E2447">
        <f>WEEKNUM(Append321[[#This Row],[Date]])</f>
        <v>23</v>
      </c>
    </row>
    <row r="2448" spans="1:5">
      <c r="A2448" t="s">
        <v>111</v>
      </c>
      <c r="B2448" t="s">
        <v>104</v>
      </c>
      <c r="C2448" s="5">
        <v>45446</v>
      </c>
      <c r="D2448">
        <v>105</v>
      </c>
      <c r="E2448">
        <f>WEEKNUM(Append321[[#This Row],[Date]])</f>
        <v>23</v>
      </c>
    </row>
    <row r="2449" spans="1:5">
      <c r="A2449" t="s">
        <v>111</v>
      </c>
      <c r="B2449" t="s">
        <v>104</v>
      </c>
      <c r="C2449" s="5">
        <v>45447</v>
      </c>
      <c r="D2449">
        <v>96</v>
      </c>
      <c r="E2449">
        <f>WEEKNUM(Append321[[#This Row],[Date]])</f>
        <v>23</v>
      </c>
    </row>
    <row r="2450" spans="1:5">
      <c r="A2450" t="s">
        <v>111</v>
      </c>
      <c r="B2450" t="s">
        <v>104</v>
      </c>
      <c r="C2450" s="5">
        <v>45448</v>
      </c>
      <c r="D2450">
        <v>123</v>
      </c>
      <c r="E2450">
        <f>WEEKNUM(Append321[[#This Row],[Date]])</f>
        <v>23</v>
      </c>
    </row>
    <row r="2451" spans="1:5">
      <c r="A2451" t="s">
        <v>111</v>
      </c>
      <c r="B2451" t="s">
        <v>104</v>
      </c>
      <c r="C2451" s="5">
        <v>45449</v>
      </c>
      <c r="D2451">
        <v>128</v>
      </c>
      <c r="E2451">
        <f>WEEKNUM(Append321[[#This Row],[Date]])</f>
        <v>23</v>
      </c>
    </row>
    <row r="2452" spans="1:5">
      <c r="A2452" t="s">
        <v>111</v>
      </c>
      <c r="B2452" t="s">
        <v>104</v>
      </c>
      <c r="C2452" s="5">
        <v>45450</v>
      </c>
      <c r="D2452">
        <v>138</v>
      </c>
      <c r="E2452">
        <f>WEEKNUM(Append321[[#This Row],[Date]])</f>
        <v>23</v>
      </c>
    </row>
    <row r="2453" spans="1:5">
      <c r="A2453" t="s">
        <v>111</v>
      </c>
      <c r="B2453" t="s">
        <v>104</v>
      </c>
      <c r="C2453" s="5">
        <v>45451</v>
      </c>
      <c r="D2453">
        <v>135</v>
      </c>
      <c r="E2453">
        <f>WEEKNUM(Append321[[#This Row],[Date]])</f>
        <v>23</v>
      </c>
    </row>
    <row r="2454" spans="1:5">
      <c r="A2454" t="s">
        <v>111</v>
      </c>
      <c r="B2454" t="s">
        <v>104</v>
      </c>
      <c r="C2454" s="5">
        <v>45452</v>
      </c>
      <c r="D2454">
        <v>102</v>
      </c>
      <c r="E2454">
        <f>WEEKNUM(Append321[[#This Row],[Date]])</f>
        <v>24</v>
      </c>
    </row>
    <row r="2455" spans="1:5">
      <c r="A2455" t="s">
        <v>111</v>
      </c>
      <c r="B2455" t="s">
        <v>104</v>
      </c>
      <c r="C2455" s="5">
        <v>45453</v>
      </c>
      <c r="D2455">
        <v>122</v>
      </c>
      <c r="E2455">
        <f>WEEKNUM(Append321[[#This Row],[Date]])</f>
        <v>24</v>
      </c>
    </row>
    <row r="2456" spans="1:5">
      <c r="A2456" t="s">
        <v>111</v>
      </c>
      <c r="B2456" t="s">
        <v>104</v>
      </c>
      <c r="C2456" s="5">
        <v>45454</v>
      </c>
      <c r="D2456">
        <v>141</v>
      </c>
      <c r="E2456">
        <f>WEEKNUM(Append321[[#This Row],[Date]])</f>
        <v>24</v>
      </c>
    </row>
    <row r="2457" spans="1:5">
      <c r="A2457" t="s">
        <v>111</v>
      </c>
      <c r="B2457" t="s">
        <v>104</v>
      </c>
      <c r="C2457" s="5">
        <v>45455</v>
      </c>
      <c r="D2457">
        <v>115</v>
      </c>
      <c r="E2457">
        <f>WEEKNUM(Append321[[#This Row],[Date]])</f>
        <v>24</v>
      </c>
    </row>
    <row r="2458" spans="1:5">
      <c r="A2458" t="s">
        <v>111</v>
      </c>
      <c r="B2458" t="s">
        <v>104</v>
      </c>
      <c r="C2458" s="5">
        <v>45456</v>
      </c>
      <c r="D2458">
        <v>150</v>
      </c>
      <c r="E2458">
        <f>WEEKNUM(Append321[[#This Row],[Date]])</f>
        <v>24</v>
      </c>
    </row>
    <row r="2459" spans="1:5">
      <c r="A2459" t="s">
        <v>111</v>
      </c>
      <c r="B2459" t="s">
        <v>104</v>
      </c>
      <c r="C2459" s="5">
        <v>45457</v>
      </c>
      <c r="D2459">
        <v>174</v>
      </c>
      <c r="E2459">
        <f>WEEKNUM(Append321[[#This Row],[Date]])</f>
        <v>24</v>
      </c>
    </row>
    <row r="2460" spans="1:5">
      <c r="A2460" t="s">
        <v>111</v>
      </c>
      <c r="B2460" t="s">
        <v>104</v>
      </c>
      <c r="C2460" s="5">
        <v>45458</v>
      </c>
      <c r="D2460">
        <v>143</v>
      </c>
      <c r="E2460">
        <f>WEEKNUM(Append321[[#This Row],[Date]])</f>
        <v>24</v>
      </c>
    </row>
    <row r="2461" spans="1:5">
      <c r="A2461" t="s">
        <v>111</v>
      </c>
      <c r="B2461" t="s">
        <v>104</v>
      </c>
      <c r="C2461" s="5">
        <v>45459</v>
      </c>
      <c r="D2461">
        <v>124</v>
      </c>
      <c r="E2461">
        <f>WEEKNUM(Append321[[#This Row],[Date]])</f>
        <v>25</v>
      </c>
    </row>
    <row r="2462" spans="1:5">
      <c r="A2462" t="s">
        <v>111</v>
      </c>
      <c r="B2462" t="s">
        <v>104</v>
      </c>
      <c r="C2462" s="5">
        <v>45460</v>
      </c>
      <c r="D2462">
        <v>116</v>
      </c>
      <c r="E2462">
        <f>WEEKNUM(Append321[[#This Row],[Date]])</f>
        <v>25</v>
      </c>
    </row>
    <row r="2463" spans="1:5">
      <c r="A2463" t="s">
        <v>111</v>
      </c>
      <c r="B2463" t="s">
        <v>104</v>
      </c>
      <c r="C2463" s="5">
        <v>45461</v>
      </c>
      <c r="D2463">
        <v>81</v>
      </c>
      <c r="E2463">
        <f>WEEKNUM(Append321[[#This Row],[Date]])</f>
        <v>25</v>
      </c>
    </row>
    <row r="2464" spans="1:5">
      <c r="A2464" t="s">
        <v>111</v>
      </c>
      <c r="B2464" t="s">
        <v>104</v>
      </c>
      <c r="C2464" s="5">
        <v>45462</v>
      </c>
      <c r="D2464">
        <v>93</v>
      </c>
      <c r="E2464">
        <f>WEEKNUM(Append321[[#This Row],[Date]])</f>
        <v>25</v>
      </c>
    </row>
    <row r="2465" spans="1:5">
      <c r="A2465" t="s">
        <v>111</v>
      </c>
      <c r="B2465" t="s">
        <v>104</v>
      </c>
      <c r="C2465" s="5">
        <v>45463</v>
      </c>
      <c r="D2465">
        <v>120</v>
      </c>
      <c r="E2465">
        <f>WEEKNUM(Append321[[#This Row],[Date]])</f>
        <v>25</v>
      </c>
    </row>
    <row r="2466" spans="1:5">
      <c r="A2466" t="s">
        <v>111</v>
      </c>
      <c r="B2466" t="s">
        <v>104</v>
      </c>
      <c r="C2466" s="5">
        <v>45464</v>
      </c>
      <c r="D2466">
        <v>114</v>
      </c>
      <c r="E2466">
        <f>WEEKNUM(Append321[[#This Row],[Date]])</f>
        <v>25</v>
      </c>
    </row>
    <row r="2467" spans="1:5">
      <c r="A2467" t="s">
        <v>111</v>
      </c>
      <c r="B2467" t="s">
        <v>104</v>
      </c>
      <c r="C2467" s="5">
        <v>45465</v>
      </c>
      <c r="D2467">
        <v>125</v>
      </c>
      <c r="E2467">
        <f>WEEKNUM(Append321[[#This Row],[Date]])</f>
        <v>25</v>
      </c>
    </row>
    <row r="2468" spans="1:5">
      <c r="A2468" t="s">
        <v>111</v>
      </c>
      <c r="B2468" t="s">
        <v>104</v>
      </c>
      <c r="C2468" s="5">
        <v>45466</v>
      </c>
      <c r="D2468">
        <v>98</v>
      </c>
      <c r="E2468">
        <f>WEEKNUM(Append321[[#This Row],[Date]])</f>
        <v>26</v>
      </c>
    </row>
    <row r="2469" spans="1:5">
      <c r="A2469" t="s">
        <v>111</v>
      </c>
      <c r="B2469" t="s">
        <v>104</v>
      </c>
      <c r="C2469" s="5">
        <v>45467</v>
      </c>
      <c r="D2469">
        <v>94</v>
      </c>
      <c r="E2469">
        <f>WEEKNUM(Append321[[#This Row],[Date]])</f>
        <v>26</v>
      </c>
    </row>
    <row r="2470" spans="1:5">
      <c r="A2470" t="s">
        <v>111</v>
      </c>
      <c r="B2470" t="s">
        <v>104</v>
      </c>
      <c r="C2470" s="5">
        <v>45468</v>
      </c>
      <c r="D2470">
        <v>83</v>
      </c>
      <c r="E2470">
        <f>WEEKNUM(Append321[[#This Row],[Date]])</f>
        <v>26</v>
      </c>
    </row>
    <row r="2471" spans="1:5">
      <c r="A2471" t="s">
        <v>111</v>
      </c>
      <c r="B2471" t="s">
        <v>104</v>
      </c>
      <c r="C2471" s="5">
        <v>45469</v>
      </c>
      <c r="D2471">
        <v>94</v>
      </c>
      <c r="E2471">
        <f>WEEKNUM(Append321[[#This Row],[Date]])</f>
        <v>26</v>
      </c>
    </row>
    <row r="2472" spans="1:5">
      <c r="A2472" t="s">
        <v>111</v>
      </c>
      <c r="B2472" t="s">
        <v>104</v>
      </c>
      <c r="C2472" s="5">
        <v>45470</v>
      </c>
      <c r="D2472">
        <v>105</v>
      </c>
      <c r="E2472">
        <f>WEEKNUM(Append321[[#This Row],[Date]])</f>
        <v>26</v>
      </c>
    </row>
    <row r="2473" spans="1:5">
      <c r="A2473" t="s">
        <v>111</v>
      </c>
      <c r="B2473" t="s">
        <v>104</v>
      </c>
      <c r="C2473" s="5">
        <v>45471</v>
      </c>
      <c r="D2473">
        <v>102</v>
      </c>
      <c r="E2473">
        <f>WEEKNUM(Append321[[#This Row],[Date]])</f>
        <v>26</v>
      </c>
    </row>
    <row r="2474" spans="1:5">
      <c r="A2474" t="s">
        <v>111</v>
      </c>
      <c r="B2474" t="s">
        <v>104</v>
      </c>
      <c r="C2474" s="5">
        <v>45472</v>
      </c>
      <c r="D2474">
        <v>139</v>
      </c>
      <c r="E2474">
        <f>WEEKNUM(Append321[[#This Row],[Date]])</f>
        <v>26</v>
      </c>
    </row>
    <row r="2475" spans="1:5">
      <c r="A2475" t="s">
        <v>111</v>
      </c>
      <c r="B2475" t="s">
        <v>104</v>
      </c>
      <c r="C2475" s="5">
        <v>45473</v>
      </c>
      <c r="D2475">
        <v>115</v>
      </c>
      <c r="E2475">
        <f>WEEKNUM(Append321[[#This Row],[Date]])</f>
        <v>27</v>
      </c>
    </row>
    <row r="2476" spans="1:5">
      <c r="A2476" t="s">
        <v>111</v>
      </c>
      <c r="B2476" t="s">
        <v>104</v>
      </c>
      <c r="C2476" s="5">
        <v>45474</v>
      </c>
      <c r="D2476">
        <v>135</v>
      </c>
      <c r="E2476">
        <f>WEEKNUM(Append321[[#This Row],[Date]])</f>
        <v>27</v>
      </c>
    </row>
    <row r="2477" spans="1:5">
      <c r="A2477" t="s">
        <v>111</v>
      </c>
      <c r="B2477" t="s">
        <v>104</v>
      </c>
      <c r="C2477" s="5">
        <v>45475</v>
      </c>
      <c r="D2477">
        <v>131</v>
      </c>
      <c r="E2477">
        <f>WEEKNUM(Append321[[#This Row],[Date]])</f>
        <v>27</v>
      </c>
    </row>
    <row r="2478" spans="1:5">
      <c r="A2478" t="s">
        <v>111</v>
      </c>
      <c r="B2478" t="s">
        <v>104</v>
      </c>
      <c r="C2478" s="5">
        <v>45476</v>
      </c>
      <c r="D2478">
        <v>99</v>
      </c>
      <c r="E2478">
        <f>WEEKNUM(Append321[[#This Row],[Date]])</f>
        <v>27</v>
      </c>
    </row>
    <row r="2479" spans="1:5">
      <c r="A2479" t="s">
        <v>111</v>
      </c>
      <c r="B2479" t="s">
        <v>104</v>
      </c>
      <c r="C2479" s="5">
        <v>45477</v>
      </c>
      <c r="D2479">
        <v>116</v>
      </c>
      <c r="E2479">
        <f>WEEKNUM(Append321[[#This Row],[Date]])</f>
        <v>27</v>
      </c>
    </row>
    <row r="2480" spans="1:5">
      <c r="A2480" t="s">
        <v>111</v>
      </c>
      <c r="B2480" t="s">
        <v>104</v>
      </c>
      <c r="C2480" s="5">
        <v>45478</v>
      </c>
      <c r="D2480">
        <v>122</v>
      </c>
      <c r="E2480">
        <f>WEEKNUM(Append321[[#This Row],[Date]])</f>
        <v>27</v>
      </c>
    </row>
    <row r="2481" spans="1:5">
      <c r="A2481" t="s">
        <v>111</v>
      </c>
      <c r="B2481" t="s">
        <v>104</v>
      </c>
      <c r="C2481" s="5">
        <v>45479</v>
      </c>
      <c r="D2481">
        <v>159</v>
      </c>
      <c r="E2481">
        <f>WEEKNUM(Append321[[#This Row],[Date]])</f>
        <v>27</v>
      </c>
    </row>
    <row r="2482" spans="1:5">
      <c r="A2482" t="s">
        <v>111</v>
      </c>
      <c r="B2482" t="s">
        <v>104</v>
      </c>
      <c r="C2482" s="5">
        <v>45480</v>
      </c>
      <c r="D2482">
        <v>117</v>
      </c>
      <c r="E2482">
        <f>WEEKNUM(Append321[[#This Row],[Date]])</f>
        <v>28</v>
      </c>
    </row>
    <row r="2483" spans="1:5">
      <c r="A2483" t="s">
        <v>111</v>
      </c>
      <c r="B2483" t="s">
        <v>104</v>
      </c>
      <c r="C2483" s="5">
        <v>45481</v>
      </c>
      <c r="D2483">
        <v>110</v>
      </c>
      <c r="E2483">
        <f>WEEKNUM(Append321[[#This Row],[Date]])</f>
        <v>28</v>
      </c>
    </row>
    <row r="2484" spans="1:5">
      <c r="A2484" t="s">
        <v>111</v>
      </c>
      <c r="B2484" t="s">
        <v>104</v>
      </c>
      <c r="C2484" s="5">
        <v>45482</v>
      </c>
      <c r="D2484">
        <v>100</v>
      </c>
      <c r="E2484">
        <f>WEEKNUM(Append321[[#This Row],[Date]])</f>
        <v>28</v>
      </c>
    </row>
    <row r="2485" spans="1:5">
      <c r="A2485" t="s">
        <v>111</v>
      </c>
      <c r="B2485" t="s">
        <v>104</v>
      </c>
      <c r="C2485" s="5">
        <v>45483</v>
      </c>
      <c r="D2485">
        <v>111</v>
      </c>
      <c r="E2485">
        <f>WEEKNUM(Append321[[#This Row],[Date]])</f>
        <v>28</v>
      </c>
    </row>
    <row r="2486" spans="1:5">
      <c r="A2486" t="s">
        <v>111</v>
      </c>
      <c r="B2486" t="s">
        <v>104</v>
      </c>
      <c r="C2486" s="5">
        <v>45484</v>
      </c>
      <c r="D2486">
        <v>122</v>
      </c>
      <c r="E2486">
        <f>WEEKNUM(Append321[[#This Row],[Date]])</f>
        <v>28</v>
      </c>
    </row>
    <row r="2487" spans="1:5">
      <c r="A2487" t="s">
        <v>111</v>
      </c>
      <c r="B2487" t="s">
        <v>104</v>
      </c>
      <c r="C2487" s="5">
        <v>45485</v>
      </c>
      <c r="D2487">
        <v>146</v>
      </c>
      <c r="E2487">
        <f>WEEKNUM(Append321[[#This Row],[Date]])</f>
        <v>28</v>
      </c>
    </row>
    <row r="2488" spans="1:5">
      <c r="A2488" t="s">
        <v>111</v>
      </c>
      <c r="B2488" t="s">
        <v>104</v>
      </c>
      <c r="C2488" s="5">
        <v>45486</v>
      </c>
      <c r="D2488">
        <v>172</v>
      </c>
      <c r="E2488">
        <f>WEEKNUM(Append321[[#This Row],[Date]])</f>
        <v>28</v>
      </c>
    </row>
    <row r="2489" spans="1:5">
      <c r="A2489" t="s">
        <v>111</v>
      </c>
      <c r="B2489" t="s">
        <v>104</v>
      </c>
      <c r="C2489" s="5">
        <v>45487</v>
      </c>
      <c r="D2489">
        <v>114</v>
      </c>
      <c r="E2489">
        <f>WEEKNUM(Append321[[#This Row],[Date]])</f>
        <v>29</v>
      </c>
    </row>
    <row r="2490" spans="1:5">
      <c r="A2490" t="s">
        <v>111</v>
      </c>
      <c r="B2490" t="s">
        <v>104</v>
      </c>
      <c r="C2490" s="5">
        <v>45488</v>
      </c>
      <c r="D2490">
        <v>101</v>
      </c>
      <c r="E2490">
        <f>WEEKNUM(Append321[[#This Row],[Date]])</f>
        <v>29</v>
      </c>
    </row>
    <row r="2491" spans="1:5">
      <c r="A2491" t="s">
        <v>111</v>
      </c>
      <c r="B2491" t="s">
        <v>104</v>
      </c>
      <c r="C2491" s="5">
        <v>45489</v>
      </c>
      <c r="D2491">
        <v>79</v>
      </c>
      <c r="E2491">
        <f>WEEKNUM(Append321[[#This Row],[Date]])</f>
        <v>29</v>
      </c>
    </row>
    <row r="2492" spans="1:5">
      <c r="A2492" t="s">
        <v>111</v>
      </c>
      <c r="B2492" t="s">
        <v>104</v>
      </c>
      <c r="C2492" s="5">
        <v>45490</v>
      </c>
      <c r="D2492">
        <v>100</v>
      </c>
      <c r="E2492">
        <f>WEEKNUM(Append321[[#This Row],[Date]])</f>
        <v>29</v>
      </c>
    </row>
    <row r="2493" spans="1:5">
      <c r="A2493" t="s">
        <v>111</v>
      </c>
      <c r="B2493" t="s">
        <v>104</v>
      </c>
      <c r="C2493" s="5">
        <v>45491</v>
      </c>
      <c r="D2493">
        <v>83</v>
      </c>
      <c r="E2493">
        <f>WEEKNUM(Append321[[#This Row],[Date]])</f>
        <v>29</v>
      </c>
    </row>
    <row r="2494" spans="1:5">
      <c r="A2494" t="s">
        <v>111</v>
      </c>
      <c r="B2494" t="s">
        <v>104</v>
      </c>
      <c r="C2494" s="5">
        <v>45492</v>
      </c>
      <c r="D2494">
        <v>108</v>
      </c>
      <c r="E2494">
        <f>WEEKNUM(Append321[[#This Row],[Date]])</f>
        <v>29</v>
      </c>
    </row>
    <row r="2495" spans="1:5">
      <c r="A2495" t="s">
        <v>111</v>
      </c>
      <c r="B2495" t="s">
        <v>104</v>
      </c>
      <c r="C2495" s="5">
        <v>45493</v>
      </c>
      <c r="D2495">
        <v>138</v>
      </c>
      <c r="E2495">
        <f>WEEKNUM(Append321[[#This Row],[Date]])</f>
        <v>29</v>
      </c>
    </row>
    <row r="2496" spans="1:5">
      <c r="A2496" t="s">
        <v>111</v>
      </c>
      <c r="B2496" t="s">
        <v>104</v>
      </c>
      <c r="C2496" s="5">
        <v>45494</v>
      </c>
      <c r="D2496">
        <v>91</v>
      </c>
      <c r="E2496">
        <f>WEEKNUM(Append321[[#This Row],[Date]])</f>
        <v>30</v>
      </c>
    </row>
    <row r="2497" spans="1:5">
      <c r="A2497" t="s">
        <v>111</v>
      </c>
      <c r="B2497" t="s">
        <v>104</v>
      </c>
      <c r="C2497" s="5">
        <v>45495</v>
      </c>
      <c r="D2497">
        <v>117</v>
      </c>
      <c r="E2497">
        <f>WEEKNUM(Append321[[#This Row],[Date]])</f>
        <v>30</v>
      </c>
    </row>
    <row r="2498" spans="1:5">
      <c r="A2498" t="s">
        <v>111</v>
      </c>
      <c r="B2498" t="s">
        <v>104</v>
      </c>
      <c r="C2498" s="5">
        <v>45496</v>
      </c>
      <c r="D2498">
        <v>114</v>
      </c>
      <c r="E2498">
        <f>WEEKNUM(Append321[[#This Row],[Date]])</f>
        <v>30</v>
      </c>
    </row>
    <row r="2499" spans="1:5">
      <c r="A2499" t="s">
        <v>111</v>
      </c>
      <c r="B2499" t="s">
        <v>104</v>
      </c>
      <c r="C2499" s="5">
        <v>45497</v>
      </c>
      <c r="D2499">
        <v>124</v>
      </c>
      <c r="E2499">
        <f>WEEKNUM(Append321[[#This Row],[Date]])</f>
        <v>30</v>
      </c>
    </row>
    <row r="2500" spans="1:5">
      <c r="A2500" t="s">
        <v>111</v>
      </c>
      <c r="B2500" t="s">
        <v>104</v>
      </c>
      <c r="C2500" s="5">
        <v>45498</v>
      </c>
      <c r="D2500">
        <v>118</v>
      </c>
      <c r="E2500">
        <f>WEEKNUM(Append321[[#This Row],[Date]])</f>
        <v>30</v>
      </c>
    </row>
    <row r="2501" spans="1:5">
      <c r="A2501" t="s">
        <v>111</v>
      </c>
      <c r="B2501" t="s">
        <v>104</v>
      </c>
      <c r="C2501" s="5">
        <v>45499</v>
      </c>
      <c r="D2501">
        <v>122</v>
      </c>
      <c r="E2501">
        <f>WEEKNUM(Append321[[#This Row],[Date]])</f>
        <v>30</v>
      </c>
    </row>
    <row r="2502" spans="1:5">
      <c r="A2502" t="s">
        <v>111</v>
      </c>
      <c r="B2502" t="s">
        <v>104</v>
      </c>
      <c r="C2502" s="5">
        <v>45500</v>
      </c>
      <c r="D2502">
        <v>128</v>
      </c>
      <c r="E2502">
        <f>WEEKNUM(Append321[[#This Row],[Date]])</f>
        <v>30</v>
      </c>
    </row>
    <row r="2503" spans="1:5">
      <c r="A2503" t="s">
        <v>111</v>
      </c>
      <c r="B2503" t="s">
        <v>104</v>
      </c>
      <c r="C2503" s="5">
        <v>45501</v>
      </c>
      <c r="D2503">
        <v>106</v>
      </c>
      <c r="E2503">
        <f>WEEKNUM(Append321[[#This Row],[Date]])</f>
        <v>31</v>
      </c>
    </row>
    <row r="2504" spans="1:5">
      <c r="A2504" t="s">
        <v>111</v>
      </c>
      <c r="B2504" t="s">
        <v>104</v>
      </c>
      <c r="C2504" s="5">
        <v>45502</v>
      </c>
      <c r="D2504">
        <v>110</v>
      </c>
      <c r="E2504">
        <f>WEEKNUM(Append321[[#This Row],[Date]])</f>
        <v>31</v>
      </c>
    </row>
    <row r="2505" spans="1:5">
      <c r="A2505" t="s">
        <v>111</v>
      </c>
      <c r="B2505" t="s">
        <v>104</v>
      </c>
      <c r="C2505" s="5">
        <v>45503</v>
      </c>
      <c r="D2505">
        <v>122</v>
      </c>
      <c r="E2505">
        <f>WEEKNUM(Append321[[#This Row],[Date]])</f>
        <v>31</v>
      </c>
    </row>
    <row r="2506" spans="1:5">
      <c r="A2506" t="s">
        <v>111</v>
      </c>
      <c r="B2506" t="s">
        <v>104</v>
      </c>
      <c r="C2506" s="5">
        <v>45504</v>
      </c>
      <c r="D2506">
        <v>164</v>
      </c>
      <c r="E2506">
        <f>WEEKNUM(Append321[[#This Row],[Date]])</f>
        <v>31</v>
      </c>
    </row>
    <row r="2507" spans="1:5">
      <c r="A2507" t="s">
        <v>111</v>
      </c>
      <c r="B2507" t="s">
        <v>104</v>
      </c>
      <c r="C2507" s="5">
        <v>45505</v>
      </c>
      <c r="D2507">
        <v>95</v>
      </c>
      <c r="E2507">
        <f>WEEKNUM(Append321[[#This Row],[Date]])</f>
        <v>31</v>
      </c>
    </row>
    <row r="2508" spans="1:5">
      <c r="A2508" t="s">
        <v>111</v>
      </c>
      <c r="B2508" t="s">
        <v>104</v>
      </c>
      <c r="C2508" s="5">
        <v>45506</v>
      </c>
      <c r="D2508">
        <v>147</v>
      </c>
      <c r="E2508">
        <f>WEEKNUM(Append321[[#This Row],[Date]])</f>
        <v>31</v>
      </c>
    </row>
    <row r="2509" spans="1:5">
      <c r="A2509" t="s">
        <v>111</v>
      </c>
      <c r="B2509" t="s">
        <v>104</v>
      </c>
      <c r="C2509" s="5">
        <v>45507</v>
      </c>
      <c r="D2509">
        <v>146</v>
      </c>
      <c r="E2509">
        <f>WEEKNUM(Append321[[#This Row],[Date]])</f>
        <v>31</v>
      </c>
    </row>
    <row r="2510" spans="1:5">
      <c r="A2510" t="s">
        <v>111</v>
      </c>
      <c r="B2510" t="s">
        <v>104</v>
      </c>
      <c r="C2510" s="5">
        <v>45508</v>
      </c>
      <c r="D2510">
        <v>119</v>
      </c>
      <c r="E2510">
        <f>WEEKNUM(Append321[[#This Row],[Date]])</f>
        <v>32</v>
      </c>
    </row>
    <row r="2511" spans="1:5">
      <c r="A2511" t="s">
        <v>111</v>
      </c>
      <c r="B2511" t="s">
        <v>104</v>
      </c>
      <c r="C2511" s="5">
        <v>45509</v>
      </c>
      <c r="D2511">
        <v>114</v>
      </c>
      <c r="E2511">
        <f>WEEKNUM(Append321[[#This Row],[Date]])</f>
        <v>32</v>
      </c>
    </row>
    <row r="2512" spans="1:5">
      <c r="A2512" t="s">
        <v>111</v>
      </c>
      <c r="B2512" t="s">
        <v>104</v>
      </c>
      <c r="C2512" s="5">
        <v>45510</v>
      </c>
      <c r="D2512">
        <v>128</v>
      </c>
      <c r="E2512">
        <f>WEEKNUM(Append321[[#This Row],[Date]])</f>
        <v>32</v>
      </c>
    </row>
    <row r="2513" spans="1:5">
      <c r="A2513" t="s">
        <v>111</v>
      </c>
      <c r="B2513" t="s">
        <v>104</v>
      </c>
      <c r="C2513" s="5">
        <v>45511</v>
      </c>
      <c r="D2513">
        <v>124</v>
      </c>
      <c r="E2513">
        <f>WEEKNUM(Append321[[#This Row],[Date]])</f>
        <v>32</v>
      </c>
    </row>
    <row r="2514" spans="1:5">
      <c r="A2514" t="s">
        <v>111</v>
      </c>
      <c r="B2514" t="s">
        <v>104</v>
      </c>
      <c r="C2514" s="5">
        <v>45512</v>
      </c>
      <c r="D2514">
        <v>125</v>
      </c>
      <c r="E2514">
        <f>WEEKNUM(Append321[[#This Row],[Date]])</f>
        <v>32</v>
      </c>
    </row>
    <row r="2515" spans="1:5">
      <c r="A2515" t="s">
        <v>111</v>
      </c>
      <c r="B2515" t="s">
        <v>104</v>
      </c>
      <c r="C2515" s="5">
        <v>45513</v>
      </c>
      <c r="D2515">
        <v>112</v>
      </c>
      <c r="E2515">
        <f>WEEKNUM(Append321[[#This Row],[Date]])</f>
        <v>32</v>
      </c>
    </row>
    <row r="2516" spans="1:5">
      <c r="A2516" t="s">
        <v>111</v>
      </c>
      <c r="B2516" t="s">
        <v>104</v>
      </c>
      <c r="C2516" s="5">
        <v>45514</v>
      </c>
      <c r="D2516">
        <v>133</v>
      </c>
      <c r="E2516">
        <f>WEEKNUM(Append321[[#This Row],[Date]])</f>
        <v>32</v>
      </c>
    </row>
    <row r="2517" spans="1:5">
      <c r="A2517" t="s">
        <v>111</v>
      </c>
      <c r="B2517" t="s">
        <v>104</v>
      </c>
      <c r="C2517" s="5">
        <v>45515</v>
      </c>
      <c r="D2517">
        <v>112</v>
      </c>
      <c r="E2517">
        <f>WEEKNUM(Append321[[#This Row],[Date]])</f>
        <v>33</v>
      </c>
    </row>
    <row r="2518" spans="1:5">
      <c r="A2518" t="s">
        <v>111</v>
      </c>
      <c r="B2518" t="s">
        <v>104</v>
      </c>
      <c r="C2518" s="5">
        <v>45516</v>
      </c>
      <c r="D2518">
        <v>115</v>
      </c>
      <c r="E2518">
        <f>WEEKNUM(Append321[[#This Row],[Date]])</f>
        <v>33</v>
      </c>
    </row>
    <row r="2519" spans="1:5">
      <c r="A2519" t="s">
        <v>111</v>
      </c>
      <c r="B2519" t="s">
        <v>104</v>
      </c>
      <c r="C2519" s="5">
        <v>45517</v>
      </c>
      <c r="D2519">
        <v>108</v>
      </c>
      <c r="E2519">
        <f>WEEKNUM(Append321[[#This Row],[Date]])</f>
        <v>33</v>
      </c>
    </row>
    <row r="2520" spans="1:5">
      <c r="A2520" t="s">
        <v>111</v>
      </c>
      <c r="B2520" t="s">
        <v>104</v>
      </c>
      <c r="C2520" s="5">
        <v>45518</v>
      </c>
      <c r="D2520">
        <v>110</v>
      </c>
      <c r="E2520">
        <f>WEEKNUM(Append321[[#This Row],[Date]])</f>
        <v>33</v>
      </c>
    </row>
    <row r="2521" spans="1:5">
      <c r="A2521" t="s">
        <v>111</v>
      </c>
      <c r="B2521" t="s">
        <v>104</v>
      </c>
      <c r="C2521" s="5">
        <v>45519</v>
      </c>
      <c r="D2521">
        <v>116</v>
      </c>
      <c r="E2521">
        <f>WEEKNUM(Append321[[#This Row],[Date]])</f>
        <v>33</v>
      </c>
    </row>
    <row r="2522" spans="1:5">
      <c r="A2522" t="s">
        <v>111</v>
      </c>
      <c r="B2522" t="s">
        <v>104</v>
      </c>
      <c r="C2522" s="5">
        <v>45520</v>
      </c>
      <c r="D2522">
        <v>98</v>
      </c>
      <c r="E2522">
        <f>WEEKNUM(Append321[[#This Row],[Date]])</f>
        <v>33</v>
      </c>
    </row>
    <row r="2523" spans="1:5">
      <c r="A2523" t="s">
        <v>111</v>
      </c>
      <c r="B2523" t="s">
        <v>104</v>
      </c>
      <c r="C2523" s="5">
        <v>45521</v>
      </c>
      <c r="D2523">
        <v>94</v>
      </c>
      <c r="E2523">
        <f>WEEKNUM(Append321[[#This Row],[Date]])</f>
        <v>33</v>
      </c>
    </row>
    <row r="2524" spans="1:5">
      <c r="A2524" t="s">
        <v>111</v>
      </c>
      <c r="B2524" t="s">
        <v>104</v>
      </c>
      <c r="C2524" s="5">
        <v>45522</v>
      </c>
      <c r="D2524">
        <v>102</v>
      </c>
      <c r="E2524">
        <f>WEEKNUM(Append321[[#This Row],[Date]])</f>
        <v>34</v>
      </c>
    </row>
    <row r="2525" spans="1:5">
      <c r="A2525" t="s">
        <v>111</v>
      </c>
      <c r="B2525" t="s">
        <v>104</v>
      </c>
      <c r="C2525" s="5">
        <v>45523</v>
      </c>
      <c r="D2525">
        <v>129</v>
      </c>
      <c r="E2525">
        <f>WEEKNUM(Append321[[#This Row],[Date]])</f>
        <v>34</v>
      </c>
    </row>
    <row r="2526" spans="1:5">
      <c r="A2526" t="s">
        <v>111</v>
      </c>
      <c r="B2526" t="s">
        <v>104</v>
      </c>
      <c r="C2526" s="5">
        <v>45524</v>
      </c>
      <c r="D2526">
        <v>119</v>
      </c>
      <c r="E2526">
        <f>WEEKNUM(Append321[[#This Row],[Date]])</f>
        <v>34</v>
      </c>
    </row>
    <row r="2527" spans="1:5">
      <c r="A2527" t="s">
        <v>111</v>
      </c>
      <c r="B2527" t="s">
        <v>104</v>
      </c>
      <c r="C2527" s="5">
        <v>45525</v>
      </c>
      <c r="D2527">
        <v>129</v>
      </c>
      <c r="E2527">
        <f>WEEKNUM(Append321[[#This Row],[Date]])</f>
        <v>34</v>
      </c>
    </row>
    <row r="2528" spans="1:5">
      <c r="A2528" t="s">
        <v>111</v>
      </c>
      <c r="B2528" t="s">
        <v>104</v>
      </c>
      <c r="C2528" s="5">
        <v>45526</v>
      </c>
      <c r="D2528">
        <v>136</v>
      </c>
      <c r="E2528">
        <f>WEEKNUM(Append321[[#This Row],[Date]])</f>
        <v>34</v>
      </c>
    </row>
    <row r="2529" spans="1:5">
      <c r="A2529" t="s">
        <v>111</v>
      </c>
      <c r="B2529" t="s">
        <v>104</v>
      </c>
      <c r="C2529" s="5">
        <v>45527</v>
      </c>
      <c r="D2529">
        <v>136</v>
      </c>
      <c r="E2529">
        <f>WEEKNUM(Append321[[#This Row],[Date]])</f>
        <v>34</v>
      </c>
    </row>
    <row r="2530" spans="1:5">
      <c r="A2530" t="s">
        <v>111</v>
      </c>
      <c r="B2530" t="s">
        <v>104</v>
      </c>
      <c r="C2530" s="5">
        <v>45528</v>
      </c>
      <c r="D2530">
        <v>146</v>
      </c>
      <c r="E2530">
        <f>WEEKNUM(Append321[[#This Row],[Date]])</f>
        <v>34</v>
      </c>
    </row>
    <row r="2531" spans="1:5">
      <c r="A2531" t="s">
        <v>111</v>
      </c>
      <c r="B2531" t="s">
        <v>104</v>
      </c>
      <c r="C2531" s="5">
        <v>45529</v>
      </c>
      <c r="D2531">
        <v>111</v>
      </c>
      <c r="E2531">
        <f>WEEKNUM(Append321[[#This Row],[Date]])</f>
        <v>35</v>
      </c>
    </row>
    <row r="2532" spans="1:5">
      <c r="A2532" t="s">
        <v>111</v>
      </c>
      <c r="B2532" t="s">
        <v>104</v>
      </c>
      <c r="C2532" s="5">
        <v>45530</v>
      </c>
      <c r="D2532">
        <v>130</v>
      </c>
      <c r="E2532">
        <f>WEEKNUM(Append321[[#This Row],[Date]])</f>
        <v>35</v>
      </c>
    </row>
    <row r="2533" spans="1:5">
      <c r="A2533" t="s">
        <v>111</v>
      </c>
      <c r="B2533" t="s">
        <v>104</v>
      </c>
      <c r="C2533" s="5">
        <v>45531</v>
      </c>
      <c r="D2533">
        <v>132</v>
      </c>
      <c r="E2533">
        <f>WEEKNUM(Append321[[#This Row],[Date]])</f>
        <v>35</v>
      </c>
    </row>
    <row r="2534" spans="1:5">
      <c r="A2534" t="s">
        <v>111</v>
      </c>
      <c r="B2534" t="s">
        <v>104</v>
      </c>
      <c r="C2534" s="5">
        <v>45532</v>
      </c>
      <c r="D2534">
        <v>106</v>
      </c>
      <c r="E2534">
        <f>WEEKNUM(Append321[[#This Row],[Date]])</f>
        <v>35</v>
      </c>
    </row>
    <row r="2535" spans="1:5">
      <c r="A2535" t="s">
        <v>111</v>
      </c>
      <c r="B2535" t="s">
        <v>104</v>
      </c>
      <c r="C2535" s="5">
        <v>45533</v>
      </c>
      <c r="D2535">
        <v>106</v>
      </c>
      <c r="E2535">
        <f>WEEKNUM(Append321[[#This Row],[Date]])</f>
        <v>35</v>
      </c>
    </row>
    <row r="2536" spans="1:5">
      <c r="A2536" t="s">
        <v>111</v>
      </c>
      <c r="B2536" t="s">
        <v>104</v>
      </c>
      <c r="C2536" s="5">
        <v>45534</v>
      </c>
      <c r="D2536">
        <v>117</v>
      </c>
      <c r="E2536">
        <f>WEEKNUM(Append321[[#This Row],[Date]])</f>
        <v>35</v>
      </c>
    </row>
    <row r="2537" spans="1:5">
      <c r="A2537" t="s">
        <v>111</v>
      </c>
      <c r="B2537" t="s">
        <v>104</v>
      </c>
      <c r="C2537" s="5">
        <v>45535</v>
      </c>
      <c r="D2537">
        <v>127</v>
      </c>
      <c r="E2537">
        <f>WEEKNUM(Append321[[#This Row],[Date]])</f>
        <v>35</v>
      </c>
    </row>
    <row r="2538" spans="1:5">
      <c r="A2538" t="s">
        <v>111</v>
      </c>
      <c r="B2538" t="s">
        <v>105</v>
      </c>
      <c r="C2538" s="5">
        <v>45444</v>
      </c>
      <c r="D2538">
        <v>35</v>
      </c>
      <c r="E2538">
        <f>WEEKNUM(Append321[[#This Row],[Date]])</f>
        <v>22</v>
      </c>
    </row>
    <row r="2539" spans="1:5">
      <c r="A2539" t="s">
        <v>111</v>
      </c>
      <c r="B2539" t="s">
        <v>105</v>
      </c>
      <c r="C2539" s="5">
        <v>45445</v>
      </c>
      <c r="D2539">
        <v>19</v>
      </c>
      <c r="E2539">
        <f>WEEKNUM(Append321[[#This Row],[Date]])</f>
        <v>23</v>
      </c>
    </row>
    <row r="2540" spans="1:5">
      <c r="A2540" t="s">
        <v>111</v>
      </c>
      <c r="B2540" t="s">
        <v>105</v>
      </c>
      <c r="C2540" s="5">
        <v>45446</v>
      </c>
      <c r="D2540">
        <v>27</v>
      </c>
      <c r="E2540">
        <f>WEEKNUM(Append321[[#This Row],[Date]])</f>
        <v>23</v>
      </c>
    </row>
    <row r="2541" spans="1:5">
      <c r="A2541" t="s">
        <v>111</v>
      </c>
      <c r="B2541" t="s">
        <v>105</v>
      </c>
      <c r="C2541" s="5">
        <v>45447</v>
      </c>
      <c r="D2541">
        <v>26</v>
      </c>
      <c r="E2541">
        <f>WEEKNUM(Append321[[#This Row],[Date]])</f>
        <v>23</v>
      </c>
    </row>
    <row r="2542" spans="1:5">
      <c r="A2542" t="s">
        <v>111</v>
      </c>
      <c r="B2542" t="s">
        <v>105</v>
      </c>
      <c r="C2542" s="5">
        <v>45448</v>
      </c>
      <c r="D2542">
        <v>22</v>
      </c>
      <c r="E2542">
        <f>WEEKNUM(Append321[[#This Row],[Date]])</f>
        <v>23</v>
      </c>
    </row>
    <row r="2543" spans="1:5">
      <c r="A2543" t="s">
        <v>111</v>
      </c>
      <c r="B2543" t="s">
        <v>105</v>
      </c>
      <c r="C2543" s="5">
        <v>45449</v>
      </c>
      <c r="D2543">
        <v>32</v>
      </c>
      <c r="E2543">
        <f>WEEKNUM(Append321[[#This Row],[Date]])</f>
        <v>23</v>
      </c>
    </row>
    <row r="2544" spans="1:5">
      <c r="A2544" t="s">
        <v>111</v>
      </c>
      <c r="B2544" t="s">
        <v>105</v>
      </c>
      <c r="C2544" s="5">
        <v>45450</v>
      </c>
      <c r="D2544">
        <v>23</v>
      </c>
      <c r="E2544">
        <f>WEEKNUM(Append321[[#This Row],[Date]])</f>
        <v>23</v>
      </c>
    </row>
    <row r="2545" spans="1:5">
      <c r="A2545" t="s">
        <v>111</v>
      </c>
      <c r="B2545" t="s">
        <v>105</v>
      </c>
      <c r="C2545" s="5">
        <v>45451</v>
      </c>
      <c r="D2545">
        <v>30</v>
      </c>
      <c r="E2545">
        <f>WEEKNUM(Append321[[#This Row],[Date]])</f>
        <v>23</v>
      </c>
    </row>
    <row r="2546" spans="1:5">
      <c r="A2546" t="s">
        <v>111</v>
      </c>
      <c r="B2546" t="s">
        <v>105</v>
      </c>
      <c r="C2546" s="5">
        <v>45452</v>
      </c>
      <c r="D2546">
        <v>28</v>
      </c>
      <c r="E2546">
        <f>WEEKNUM(Append321[[#This Row],[Date]])</f>
        <v>24</v>
      </c>
    </row>
    <row r="2547" spans="1:5">
      <c r="A2547" t="s">
        <v>111</v>
      </c>
      <c r="B2547" t="s">
        <v>105</v>
      </c>
      <c r="C2547" s="5">
        <v>45453</v>
      </c>
      <c r="D2547">
        <v>35</v>
      </c>
      <c r="E2547">
        <f>WEEKNUM(Append321[[#This Row],[Date]])</f>
        <v>24</v>
      </c>
    </row>
    <row r="2548" spans="1:5">
      <c r="A2548" t="s">
        <v>111</v>
      </c>
      <c r="B2548" t="s">
        <v>105</v>
      </c>
      <c r="C2548" s="5">
        <v>45454</v>
      </c>
      <c r="D2548">
        <v>37</v>
      </c>
      <c r="E2548">
        <f>WEEKNUM(Append321[[#This Row],[Date]])</f>
        <v>24</v>
      </c>
    </row>
    <row r="2549" spans="1:5">
      <c r="A2549" t="s">
        <v>111</v>
      </c>
      <c r="B2549" t="s">
        <v>105</v>
      </c>
      <c r="C2549" s="5">
        <v>45455</v>
      </c>
      <c r="D2549">
        <v>27</v>
      </c>
      <c r="E2549">
        <f>WEEKNUM(Append321[[#This Row],[Date]])</f>
        <v>24</v>
      </c>
    </row>
    <row r="2550" spans="1:5">
      <c r="A2550" t="s">
        <v>111</v>
      </c>
      <c r="B2550" t="s">
        <v>105</v>
      </c>
      <c r="C2550" s="5">
        <v>45456</v>
      </c>
      <c r="D2550">
        <v>23</v>
      </c>
      <c r="E2550">
        <f>WEEKNUM(Append321[[#This Row],[Date]])</f>
        <v>24</v>
      </c>
    </row>
    <row r="2551" spans="1:5">
      <c r="A2551" t="s">
        <v>111</v>
      </c>
      <c r="B2551" t="s">
        <v>105</v>
      </c>
      <c r="C2551" s="5">
        <v>45457</v>
      </c>
      <c r="D2551">
        <v>39</v>
      </c>
      <c r="E2551">
        <f>WEEKNUM(Append321[[#This Row],[Date]])</f>
        <v>24</v>
      </c>
    </row>
    <row r="2552" spans="1:5">
      <c r="A2552" t="s">
        <v>111</v>
      </c>
      <c r="B2552" t="s">
        <v>105</v>
      </c>
      <c r="C2552" s="5">
        <v>45458</v>
      </c>
      <c r="D2552">
        <v>27</v>
      </c>
      <c r="E2552">
        <f>WEEKNUM(Append321[[#This Row],[Date]])</f>
        <v>24</v>
      </c>
    </row>
    <row r="2553" spans="1:5">
      <c r="A2553" t="s">
        <v>111</v>
      </c>
      <c r="B2553" t="s">
        <v>105</v>
      </c>
      <c r="C2553" s="5">
        <v>45459</v>
      </c>
      <c r="D2553">
        <v>35</v>
      </c>
      <c r="E2553">
        <f>WEEKNUM(Append321[[#This Row],[Date]])</f>
        <v>25</v>
      </c>
    </row>
    <row r="2554" spans="1:5">
      <c r="A2554" t="s">
        <v>111</v>
      </c>
      <c r="B2554" t="s">
        <v>105</v>
      </c>
      <c r="C2554" s="5">
        <v>45460</v>
      </c>
      <c r="D2554">
        <v>45</v>
      </c>
      <c r="E2554">
        <f>WEEKNUM(Append321[[#This Row],[Date]])</f>
        <v>25</v>
      </c>
    </row>
    <row r="2555" spans="1:5">
      <c r="A2555" t="s">
        <v>111</v>
      </c>
      <c r="B2555" t="s">
        <v>105</v>
      </c>
      <c r="C2555" s="5">
        <v>45461</v>
      </c>
      <c r="D2555">
        <v>39</v>
      </c>
      <c r="E2555">
        <f>WEEKNUM(Append321[[#This Row],[Date]])</f>
        <v>25</v>
      </c>
    </row>
    <row r="2556" spans="1:5">
      <c r="A2556" t="s">
        <v>111</v>
      </c>
      <c r="B2556" t="s">
        <v>105</v>
      </c>
      <c r="C2556" s="5">
        <v>45462</v>
      </c>
      <c r="D2556">
        <v>38</v>
      </c>
      <c r="E2556">
        <f>WEEKNUM(Append321[[#This Row],[Date]])</f>
        <v>25</v>
      </c>
    </row>
    <row r="2557" spans="1:5">
      <c r="A2557" t="s">
        <v>111</v>
      </c>
      <c r="B2557" t="s">
        <v>105</v>
      </c>
      <c r="C2557" s="5">
        <v>45463</v>
      </c>
      <c r="D2557">
        <v>28</v>
      </c>
      <c r="E2557">
        <f>WEEKNUM(Append321[[#This Row],[Date]])</f>
        <v>25</v>
      </c>
    </row>
    <row r="2558" spans="1:5">
      <c r="A2558" t="s">
        <v>111</v>
      </c>
      <c r="B2558" t="s">
        <v>105</v>
      </c>
      <c r="C2558" s="5">
        <v>45464</v>
      </c>
      <c r="D2558">
        <v>23</v>
      </c>
      <c r="E2558">
        <f>WEEKNUM(Append321[[#This Row],[Date]])</f>
        <v>25</v>
      </c>
    </row>
    <row r="2559" spans="1:5">
      <c r="A2559" t="s">
        <v>111</v>
      </c>
      <c r="B2559" t="s">
        <v>105</v>
      </c>
      <c r="C2559" s="5">
        <v>45465</v>
      </c>
      <c r="D2559">
        <v>29</v>
      </c>
      <c r="E2559">
        <f>WEEKNUM(Append321[[#This Row],[Date]])</f>
        <v>25</v>
      </c>
    </row>
    <row r="2560" spans="1:5">
      <c r="A2560" t="s">
        <v>111</v>
      </c>
      <c r="B2560" t="s">
        <v>105</v>
      </c>
      <c r="C2560" s="5">
        <v>45466</v>
      </c>
      <c r="D2560">
        <v>34</v>
      </c>
      <c r="E2560">
        <f>WEEKNUM(Append321[[#This Row],[Date]])</f>
        <v>26</v>
      </c>
    </row>
    <row r="2561" spans="1:5">
      <c r="A2561" t="s">
        <v>111</v>
      </c>
      <c r="B2561" t="s">
        <v>105</v>
      </c>
      <c r="C2561" s="5">
        <v>45467</v>
      </c>
      <c r="D2561">
        <v>35</v>
      </c>
      <c r="E2561">
        <f>WEEKNUM(Append321[[#This Row],[Date]])</f>
        <v>26</v>
      </c>
    </row>
    <row r="2562" spans="1:5">
      <c r="A2562" t="s">
        <v>111</v>
      </c>
      <c r="B2562" t="s">
        <v>105</v>
      </c>
      <c r="C2562" s="5">
        <v>45468</v>
      </c>
      <c r="D2562">
        <v>33</v>
      </c>
      <c r="E2562">
        <f>WEEKNUM(Append321[[#This Row],[Date]])</f>
        <v>26</v>
      </c>
    </row>
    <row r="2563" spans="1:5">
      <c r="A2563" t="s">
        <v>111</v>
      </c>
      <c r="B2563" t="s">
        <v>105</v>
      </c>
      <c r="C2563" s="5">
        <v>45469</v>
      </c>
      <c r="D2563">
        <v>27</v>
      </c>
      <c r="E2563">
        <f>WEEKNUM(Append321[[#This Row],[Date]])</f>
        <v>26</v>
      </c>
    </row>
    <row r="2564" spans="1:5">
      <c r="A2564" t="s">
        <v>111</v>
      </c>
      <c r="B2564" t="s">
        <v>105</v>
      </c>
      <c r="C2564" s="5">
        <v>45470</v>
      </c>
      <c r="D2564">
        <v>20</v>
      </c>
      <c r="E2564">
        <f>WEEKNUM(Append321[[#This Row],[Date]])</f>
        <v>26</v>
      </c>
    </row>
    <row r="2565" spans="1:5">
      <c r="A2565" t="s">
        <v>111</v>
      </c>
      <c r="B2565" t="s">
        <v>105</v>
      </c>
      <c r="C2565" s="5">
        <v>45471</v>
      </c>
      <c r="D2565">
        <v>22</v>
      </c>
      <c r="E2565">
        <f>WEEKNUM(Append321[[#This Row],[Date]])</f>
        <v>26</v>
      </c>
    </row>
    <row r="2566" spans="1:5">
      <c r="A2566" t="s">
        <v>111</v>
      </c>
      <c r="B2566" t="s">
        <v>105</v>
      </c>
      <c r="C2566" s="5">
        <v>45472</v>
      </c>
      <c r="D2566">
        <v>42</v>
      </c>
      <c r="E2566">
        <f>WEEKNUM(Append321[[#This Row],[Date]])</f>
        <v>26</v>
      </c>
    </row>
    <row r="2567" spans="1:5">
      <c r="A2567" t="s">
        <v>111</v>
      </c>
      <c r="B2567" t="s">
        <v>105</v>
      </c>
      <c r="C2567" s="5">
        <v>45473</v>
      </c>
      <c r="D2567">
        <v>26</v>
      </c>
      <c r="E2567">
        <f>WEEKNUM(Append321[[#This Row],[Date]])</f>
        <v>27</v>
      </c>
    </row>
    <row r="2568" spans="1:5">
      <c r="A2568" t="s">
        <v>111</v>
      </c>
      <c r="B2568" t="s">
        <v>105</v>
      </c>
      <c r="C2568" s="5">
        <v>45474</v>
      </c>
      <c r="D2568">
        <v>33</v>
      </c>
      <c r="E2568">
        <f>WEEKNUM(Append321[[#This Row],[Date]])</f>
        <v>27</v>
      </c>
    </row>
    <row r="2569" spans="1:5">
      <c r="A2569" t="s">
        <v>111</v>
      </c>
      <c r="B2569" t="s">
        <v>105</v>
      </c>
      <c r="C2569" s="5">
        <v>45475</v>
      </c>
      <c r="D2569">
        <v>36</v>
      </c>
      <c r="E2569">
        <f>WEEKNUM(Append321[[#This Row],[Date]])</f>
        <v>27</v>
      </c>
    </row>
    <row r="2570" spans="1:5">
      <c r="A2570" t="s">
        <v>111</v>
      </c>
      <c r="B2570" t="s">
        <v>105</v>
      </c>
      <c r="C2570" s="5">
        <v>45476</v>
      </c>
      <c r="D2570">
        <v>42</v>
      </c>
      <c r="E2570">
        <f>WEEKNUM(Append321[[#This Row],[Date]])</f>
        <v>27</v>
      </c>
    </row>
    <row r="2571" spans="1:5">
      <c r="A2571" t="s">
        <v>111</v>
      </c>
      <c r="B2571" t="s">
        <v>105</v>
      </c>
      <c r="C2571" s="5">
        <v>45477</v>
      </c>
      <c r="D2571">
        <v>24</v>
      </c>
      <c r="E2571">
        <f>WEEKNUM(Append321[[#This Row],[Date]])</f>
        <v>27</v>
      </c>
    </row>
    <row r="2572" spans="1:5">
      <c r="A2572" t="s">
        <v>111</v>
      </c>
      <c r="B2572" t="s">
        <v>105</v>
      </c>
      <c r="C2572" s="5">
        <v>45478</v>
      </c>
      <c r="D2572">
        <v>34</v>
      </c>
      <c r="E2572">
        <f>WEEKNUM(Append321[[#This Row],[Date]])</f>
        <v>27</v>
      </c>
    </row>
    <row r="2573" spans="1:5">
      <c r="A2573" t="s">
        <v>111</v>
      </c>
      <c r="B2573" t="s">
        <v>105</v>
      </c>
      <c r="C2573" s="5">
        <v>45479</v>
      </c>
      <c r="D2573">
        <v>42</v>
      </c>
      <c r="E2573">
        <f>WEEKNUM(Append321[[#This Row],[Date]])</f>
        <v>27</v>
      </c>
    </row>
    <row r="2574" spans="1:5">
      <c r="A2574" t="s">
        <v>111</v>
      </c>
      <c r="B2574" t="s">
        <v>105</v>
      </c>
      <c r="C2574" s="5">
        <v>45480</v>
      </c>
      <c r="D2574">
        <v>40</v>
      </c>
      <c r="E2574">
        <f>WEEKNUM(Append321[[#This Row],[Date]])</f>
        <v>28</v>
      </c>
    </row>
    <row r="2575" spans="1:5">
      <c r="A2575" t="s">
        <v>111</v>
      </c>
      <c r="B2575" t="s">
        <v>105</v>
      </c>
      <c r="C2575" s="5">
        <v>45481</v>
      </c>
      <c r="D2575">
        <v>43</v>
      </c>
      <c r="E2575">
        <f>WEEKNUM(Append321[[#This Row],[Date]])</f>
        <v>28</v>
      </c>
    </row>
    <row r="2576" spans="1:5">
      <c r="A2576" t="s">
        <v>111</v>
      </c>
      <c r="B2576" t="s">
        <v>105</v>
      </c>
      <c r="C2576" s="5">
        <v>45482</v>
      </c>
      <c r="D2576">
        <v>34</v>
      </c>
      <c r="E2576">
        <f>WEEKNUM(Append321[[#This Row],[Date]])</f>
        <v>28</v>
      </c>
    </row>
    <row r="2577" spans="1:5">
      <c r="A2577" t="s">
        <v>111</v>
      </c>
      <c r="B2577" t="s">
        <v>105</v>
      </c>
      <c r="C2577" s="5">
        <v>45483</v>
      </c>
      <c r="D2577">
        <v>45</v>
      </c>
      <c r="E2577">
        <f>WEEKNUM(Append321[[#This Row],[Date]])</f>
        <v>28</v>
      </c>
    </row>
    <row r="2578" spans="1:5">
      <c r="A2578" t="s">
        <v>111</v>
      </c>
      <c r="B2578" t="s">
        <v>105</v>
      </c>
      <c r="C2578" s="5">
        <v>45484</v>
      </c>
      <c r="D2578">
        <v>25</v>
      </c>
      <c r="E2578">
        <f>WEEKNUM(Append321[[#This Row],[Date]])</f>
        <v>28</v>
      </c>
    </row>
    <row r="2579" spans="1:5">
      <c r="A2579" t="s">
        <v>111</v>
      </c>
      <c r="B2579" t="s">
        <v>105</v>
      </c>
      <c r="C2579" s="5">
        <v>45485</v>
      </c>
      <c r="D2579">
        <v>43</v>
      </c>
      <c r="E2579">
        <f>WEEKNUM(Append321[[#This Row],[Date]])</f>
        <v>28</v>
      </c>
    </row>
    <row r="2580" spans="1:5">
      <c r="A2580" t="s">
        <v>111</v>
      </c>
      <c r="B2580" t="s">
        <v>105</v>
      </c>
      <c r="C2580" s="5">
        <v>45486</v>
      </c>
      <c r="D2580">
        <v>55</v>
      </c>
      <c r="E2580">
        <f>WEEKNUM(Append321[[#This Row],[Date]])</f>
        <v>28</v>
      </c>
    </row>
    <row r="2581" spans="1:5">
      <c r="A2581" t="s">
        <v>111</v>
      </c>
      <c r="B2581" t="s">
        <v>105</v>
      </c>
      <c r="C2581" s="5">
        <v>45487</v>
      </c>
      <c r="D2581">
        <v>46</v>
      </c>
      <c r="E2581">
        <f>WEEKNUM(Append321[[#This Row],[Date]])</f>
        <v>29</v>
      </c>
    </row>
    <row r="2582" spans="1:5">
      <c r="A2582" t="s">
        <v>111</v>
      </c>
      <c r="B2582" t="s">
        <v>105</v>
      </c>
      <c r="C2582" s="5">
        <v>45488</v>
      </c>
      <c r="D2582">
        <v>51</v>
      </c>
      <c r="E2582">
        <f>WEEKNUM(Append321[[#This Row],[Date]])</f>
        <v>29</v>
      </c>
    </row>
    <row r="2583" spans="1:5">
      <c r="A2583" t="s">
        <v>111</v>
      </c>
      <c r="B2583" t="s">
        <v>105</v>
      </c>
      <c r="C2583" s="5">
        <v>45489</v>
      </c>
      <c r="D2583">
        <v>49</v>
      </c>
      <c r="E2583">
        <f>WEEKNUM(Append321[[#This Row],[Date]])</f>
        <v>29</v>
      </c>
    </row>
    <row r="2584" spans="1:5">
      <c r="A2584" t="s">
        <v>111</v>
      </c>
      <c r="B2584" t="s">
        <v>105</v>
      </c>
      <c r="C2584" s="5">
        <v>45490</v>
      </c>
      <c r="D2584">
        <v>63</v>
      </c>
      <c r="E2584">
        <f>WEEKNUM(Append321[[#This Row],[Date]])</f>
        <v>29</v>
      </c>
    </row>
    <row r="2585" spans="1:5">
      <c r="A2585" t="s">
        <v>111</v>
      </c>
      <c r="B2585" t="s">
        <v>105</v>
      </c>
      <c r="C2585" s="5">
        <v>45491</v>
      </c>
      <c r="D2585">
        <v>43</v>
      </c>
      <c r="E2585">
        <f>WEEKNUM(Append321[[#This Row],[Date]])</f>
        <v>29</v>
      </c>
    </row>
    <row r="2586" spans="1:5">
      <c r="A2586" t="s">
        <v>111</v>
      </c>
      <c r="B2586" t="s">
        <v>105</v>
      </c>
      <c r="C2586" s="5">
        <v>45492</v>
      </c>
      <c r="D2586">
        <v>41</v>
      </c>
      <c r="E2586">
        <f>WEEKNUM(Append321[[#This Row],[Date]])</f>
        <v>29</v>
      </c>
    </row>
    <row r="2587" spans="1:5">
      <c r="A2587" t="s">
        <v>111</v>
      </c>
      <c r="B2587" t="s">
        <v>105</v>
      </c>
      <c r="C2587" s="5">
        <v>45493</v>
      </c>
      <c r="D2587">
        <v>52</v>
      </c>
      <c r="E2587">
        <f>WEEKNUM(Append321[[#This Row],[Date]])</f>
        <v>29</v>
      </c>
    </row>
    <row r="2588" spans="1:5">
      <c r="A2588" t="s">
        <v>111</v>
      </c>
      <c r="B2588" t="s">
        <v>105</v>
      </c>
      <c r="C2588" s="5">
        <v>45494</v>
      </c>
      <c r="D2588">
        <v>42</v>
      </c>
      <c r="E2588">
        <f>WEEKNUM(Append321[[#This Row],[Date]])</f>
        <v>30</v>
      </c>
    </row>
    <row r="2589" spans="1:5">
      <c r="A2589" t="s">
        <v>111</v>
      </c>
      <c r="B2589" t="s">
        <v>105</v>
      </c>
      <c r="C2589" s="5">
        <v>45495</v>
      </c>
      <c r="D2589">
        <v>47</v>
      </c>
      <c r="E2589">
        <f>WEEKNUM(Append321[[#This Row],[Date]])</f>
        <v>30</v>
      </c>
    </row>
    <row r="2590" spans="1:5">
      <c r="A2590" t="s">
        <v>111</v>
      </c>
      <c r="B2590" t="s">
        <v>105</v>
      </c>
      <c r="C2590" s="5">
        <v>45496</v>
      </c>
      <c r="D2590">
        <v>42</v>
      </c>
      <c r="E2590">
        <f>WEEKNUM(Append321[[#This Row],[Date]])</f>
        <v>30</v>
      </c>
    </row>
    <row r="2591" spans="1:5">
      <c r="A2591" t="s">
        <v>111</v>
      </c>
      <c r="B2591" t="s">
        <v>105</v>
      </c>
      <c r="C2591" s="5">
        <v>45497</v>
      </c>
      <c r="D2591">
        <v>45</v>
      </c>
      <c r="E2591">
        <f>WEEKNUM(Append321[[#This Row],[Date]])</f>
        <v>30</v>
      </c>
    </row>
    <row r="2592" spans="1:5">
      <c r="A2592" t="s">
        <v>111</v>
      </c>
      <c r="B2592" t="s">
        <v>105</v>
      </c>
      <c r="C2592" s="5">
        <v>45498</v>
      </c>
      <c r="D2592">
        <v>46</v>
      </c>
      <c r="E2592">
        <f>WEEKNUM(Append321[[#This Row],[Date]])</f>
        <v>30</v>
      </c>
    </row>
    <row r="2593" spans="1:5">
      <c r="A2593" t="s">
        <v>111</v>
      </c>
      <c r="B2593" t="s">
        <v>105</v>
      </c>
      <c r="C2593" s="5">
        <v>45499</v>
      </c>
      <c r="D2593">
        <v>51</v>
      </c>
      <c r="E2593">
        <f>WEEKNUM(Append321[[#This Row],[Date]])</f>
        <v>30</v>
      </c>
    </row>
    <row r="2594" spans="1:5">
      <c r="A2594" t="s">
        <v>111</v>
      </c>
      <c r="B2594" t="s">
        <v>105</v>
      </c>
      <c r="C2594" s="5">
        <v>45500</v>
      </c>
      <c r="D2594">
        <v>44</v>
      </c>
      <c r="E2594">
        <f>WEEKNUM(Append321[[#This Row],[Date]])</f>
        <v>30</v>
      </c>
    </row>
    <row r="2595" spans="1:5">
      <c r="A2595" t="s">
        <v>111</v>
      </c>
      <c r="B2595" t="s">
        <v>105</v>
      </c>
      <c r="C2595" s="5">
        <v>45501</v>
      </c>
      <c r="D2595">
        <v>49</v>
      </c>
      <c r="E2595">
        <f>WEEKNUM(Append321[[#This Row],[Date]])</f>
        <v>31</v>
      </c>
    </row>
    <row r="2596" spans="1:5">
      <c r="A2596" t="s">
        <v>111</v>
      </c>
      <c r="B2596" t="s">
        <v>105</v>
      </c>
      <c r="C2596" s="5">
        <v>45502</v>
      </c>
      <c r="D2596">
        <v>53</v>
      </c>
      <c r="E2596">
        <f>WEEKNUM(Append321[[#This Row],[Date]])</f>
        <v>31</v>
      </c>
    </row>
    <row r="2597" spans="1:5">
      <c r="A2597" t="s">
        <v>111</v>
      </c>
      <c r="B2597" t="s">
        <v>105</v>
      </c>
      <c r="C2597" s="5">
        <v>45503</v>
      </c>
      <c r="D2597">
        <v>50</v>
      </c>
      <c r="E2597">
        <f>WEEKNUM(Append321[[#This Row],[Date]])</f>
        <v>31</v>
      </c>
    </row>
    <row r="2598" spans="1:5">
      <c r="A2598" t="s">
        <v>111</v>
      </c>
      <c r="B2598" t="s">
        <v>105</v>
      </c>
      <c r="C2598" s="5">
        <v>45504</v>
      </c>
      <c r="D2598">
        <v>48</v>
      </c>
      <c r="E2598">
        <f>WEEKNUM(Append321[[#This Row],[Date]])</f>
        <v>31</v>
      </c>
    </row>
    <row r="2599" spans="1:5">
      <c r="A2599" t="s">
        <v>111</v>
      </c>
      <c r="B2599" t="s">
        <v>105</v>
      </c>
      <c r="C2599" s="5">
        <v>45505</v>
      </c>
      <c r="D2599">
        <v>36</v>
      </c>
      <c r="E2599">
        <f>WEEKNUM(Append321[[#This Row],[Date]])</f>
        <v>31</v>
      </c>
    </row>
    <row r="2600" spans="1:5">
      <c r="A2600" t="s">
        <v>111</v>
      </c>
      <c r="B2600" t="s">
        <v>105</v>
      </c>
      <c r="C2600" s="5">
        <v>45506</v>
      </c>
      <c r="D2600">
        <v>61</v>
      </c>
      <c r="E2600">
        <f>WEEKNUM(Append321[[#This Row],[Date]])</f>
        <v>31</v>
      </c>
    </row>
    <row r="2601" spans="1:5">
      <c r="A2601" t="s">
        <v>111</v>
      </c>
      <c r="B2601" t="s">
        <v>105</v>
      </c>
      <c r="C2601" s="5">
        <v>45507</v>
      </c>
      <c r="D2601">
        <v>47</v>
      </c>
      <c r="E2601">
        <f>WEEKNUM(Append321[[#This Row],[Date]])</f>
        <v>31</v>
      </c>
    </row>
    <row r="2602" spans="1:5">
      <c r="A2602" t="s">
        <v>111</v>
      </c>
      <c r="B2602" t="s">
        <v>105</v>
      </c>
      <c r="C2602" s="5">
        <v>45508</v>
      </c>
      <c r="D2602">
        <v>34</v>
      </c>
      <c r="E2602">
        <f>WEEKNUM(Append321[[#This Row],[Date]])</f>
        <v>32</v>
      </c>
    </row>
    <row r="2603" spans="1:5">
      <c r="A2603" t="s">
        <v>111</v>
      </c>
      <c r="B2603" t="s">
        <v>105</v>
      </c>
      <c r="C2603" s="5">
        <v>45509</v>
      </c>
      <c r="D2603">
        <v>48</v>
      </c>
      <c r="E2603">
        <f>WEEKNUM(Append321[[#This Row],[Date]])</f>
        <v>32</v>
      </c>
    </row>
    <row r="2604" spans="1:5">
      <c r="A2604" t="s">
        <v>111</v>
      </c>
      <c r="B2604" t="s">
        <v>105</v>
      </c>
      <c r="C2604" s="5">
        <v>45510</v>
      </c>
      <c r="D2604">
        <v>36</v>
      </c>
      <c r="E2604">
        <f>WEEKNUM(Append321[[#This Row],[Date]])</f>
        <v>32</v>
      </c>
    </row>
    <row r="2605" spans="1:5">
      <c r="A2605" t="s">
        <v>111</v>
      </c>
      <c r="B2605" t="s">
        <v>105</v>
      </c>
      <c r="C2605" s="5">
        <v>45511</v>
      </c>
      <c r="D2605">
        <v>54</v>
      </c>
      <c r="E2605">
        <f>WEEKNUM(Append321[[#This Row],[Date]])</f>
        <v>32</v>
      </c>
    </row>
    <row r="2606" spans="1:5">
      <c r="A2606" t="s">
        <v>111</v>
      </c>
      <c r="B2606" t="s">
        <v>105</v>
      </c>
      <c r="C2606" s="5">
        <v>45512</v>
      </c>
      <c r="D2606">
        <v>32</v>
      </c>
      <c r="E2606">
        <f>WEEKNUM(Append321[[#This Row],[Date]])</f>
        <v>32</v>
      </c>
    </row>
    <row r="2607" spans="1:5">
      <c r="A2607" t="s">
        <v>111</v>
      </c>
      <c r="B2607" t="s">
        <v>105</v>
      </c>
      <c r="C2607" s="5">
        <v>45513</v>
      </c>
      <c r="D2607">
        <v>39</v>
      </c>
      <c r="E2607">
        <f>WEEKNUM(Append321[[#This Row],[Date]])</f>
        <v>32</v>
      </c>
    </row>
    <row r="2608" spans="1:5">
      <c r="A2608" t="s">
        <v>111</v>
      </c>
      <c r="B2608" t="s">
        <v>105</v>
      </c>
      <c r="C2608" s="5">
        <v>45514</v>
      </c>
      <c r="D2608">
        <v>49</v>
      </c>
      <c r="E2608">
        <f>WEEKNUM(Append321[[#This Row],[Date]])</f>
        <v>32</v>
      </c>
    </row>
    <row r="2609" spans="1:5">
      <c r="A2609" t="s">
        <v>111</v>
      </c>
      <c r="B2609" t="s">
        <v>105</v>
      </c>
      <c r="C2609" s="5">
        <v>45515</v>
      </c>
      <c r="D2609">
        <v>47</v>
      </c>
      <c r="E2609">
        <f>WEEKNUM(Append321[[#This Row],[Date]])</f>
        <v>33</v>
      </c>
    </row>
    <row r="2610" spans="1:5">
      <c r="A2610" t="s">
        <v>111</v>
      </c>
      <c r="B2610" t="s">
        <v>105</v>
      </c>
      <c r="C2610" s="5">
        <v>45516</v>
      </c>
      <c r="D2610">
        <v>48</v>
      </c>
      <c r="E2610">
        <f>WEEKNUM(Append321[[#This Row],[Date]])</f>
        <v>33</v>
      </c>
    </row>
    <row r="2611" spans="1:5">
      <c r="A2611" t="s">
        <v>111</v>
      </c>
      <c r="B2611" t="s">
        <v>105</v>
      </c>
      <c r="C2611" s="5">
        <v>45517</v>
      </c>
      <c r="D2611">
        <v>63</v>
      </c>
      <c r="E2611">
        <f>WEEKNUM(Append321[[#This Row],[Date]])</f>
        <v>33</v>
      </c>
    </row>
    <row r="2612" spans="1:5">
      <c r="A2612" t="s">
        <v>111</v>
      </c>
      <c r="B2612" t="s">
        <v>105</v>
      </c>
      <c r="C2612" s="5">
        <v>45518</v>
      </c>
      <c r="D2612">
        <v>47</v>
      </c>
      <c r="E2612">
        <f>WEEKNUM(Append321[[#This Row],[Date]])</f>
        <v>33</v>
      </c>
    </row>
    <row r="2613" spans="1:5">
      <c r="A2613" t="s">
        <v>111</v>
      </c>
      <c r="B2613" t="s">
        <v>105</v>
      </c>
      <c r="C2613" s="5">
        <v>45519</v>
      </c>
      <c r="D2613">
        <v>46</v>
      </c>
      <c r="E2613">
        <f>WEEKNUM(Append321[[#This Row],[Date]])</f>
        <v>33</v>
      </c>
    </row>
    <row r="2614" spans="1:5">
      <c r="A2614" t="s">
        <v>111</v>
      </c>
      <c r="B2614" t="s">
        <v>105</v>
      </c>
      <c r="C2614" s="5">
        <v>45520</v>
      </c>
      <c r="D2614">
        <v>41</v>
      </c>
      <c r="E2614">
        <f>WEEKNUM(Append321[[#This Row],[Date]])</f>
        <v>33</v>
      </c>
    </row>
    <row r="2615" spans="1:5">
      <c r="A2615" t="s">
        <v>111</v>
      </c>
      <c r="B2615" t="s">
        <v>105</v>
      </c>
      <c r="C2615" s="5">
        <v>45521</v>
      </c>
      <c r="D2615">
        <v>40</v>
      </c>
      <c r="E2615">
        <f>WEEKNUM(Append321[[#This Row],[Date]])</f>
        <v>33</v>
      </c>
    </row>
    <row r="2616" spans="1:5">
      <c r="A2616" t="s">
        <v>111</v>
      </c>
      <c r="B2616" t="s">
        <v>105</v>
      </c>
      <c r="C2616" s="5">
        <v>45522</v>
      </c>
      <c r="D2616">
        <v>63</v>
      </c>
      <c r="E2616">
        <f>WEEKNUM(Append321[[#This Row],[Date]])</f>
        <v>34</v>
      </c>
    </row>
    <row r="2617" spans="1:5">
      <c r="A2617" t="s">
        <v>111</v>
      </c>
      <c r="B2617" t="s">
        <v>105</v>
      </c>
      <c r="C2617" s="5">
        <v>45523</v>
      </c>
      <c r="D2617">
        <v>62</v>
      </c>
      <c r="E2617">
        <f>WEEKNUM(Append321[[#This Row],[Date]])</f>
        <v>34</v>
      </c>
    </row>
    <row r="2618" spans="1:5">
      <c r="A2618" t="s">
        <v>111</v>
      </c>
      <c r="B2618" t="s">
        <v>105</v>
      </c>
      <c r="C2618" s="5">
        <v>45524</v>
      </c>
      <c r="D2618">
        <v>56</v>
      </c>
      <c r="E2618">
        <f>WEEKNUM(Append321[[#This Row],[Date]])</f>
        <v>34</v>
      </c>
    </row>
    <row r="2619" spans="1:5">
      <c r="A2619" t="s">
        <v>111</v>
      </c>
      <c r="B2619" t="s">
        <v>105</v>
      </c>
      <c r="C2619" s="5">
        <v>45525</v>
      </c>
      <c r="D2619">
        <v>60</v>
      </c>
      <c r="E2619">
        <f>WEEKNUM(Append321[[#This Row],[Date]])</f>
        <v>34</v>
      </c>
    </row>
    <row r="2620" spans="1:5">
      <c r="A2620" t="s">
        <v>111</v>
      </c>
      <c r="B2620" t="s">
        <v>105</v>
      </c>
      <c r="C2620" s="5">
        <v>45526</v>
      </c>
      <c r="D2620">
        <v>47</v>
      </c>
      <c r="E2620">
        <f>WEEKNUM(Append321[[#This Row],[Date]])</f>
        <v>34</v>
      </c>
    </row>
    <row r="2621" spans="1:5">
      <c r="A2621" t="s">
        <v>111</v>
      </c>
      <c r="B2621" t="s">
        <v>105</v>
      </c>
      <c r="C2621" s="5">
        <v>45527</v>
      </c>
      <c r="D2621">
        <v>50</v>
      </c>
      <c r="E2621">
        <f>WEEKNUM(Append321[[#This Row],[Date]])</f>
        <v>34</v>
      </c>
    </row>
    <row r="2622" spans="1:5">
      <c r="A2622" t="s">
        <v>111</v>
      </c>
      <c r="B2622" t="s">
        <v>105</v>
      </c>
      <c r="C2622" s="5">
        <v>45528</v>
      </c>
      <c r="D2622">
        <v>60</v>
      </c>
      <c r="E2622">
        <f>WEEKNUM(Append321[[#This Row],[Date]])</f>
        <v>34</v>
      </c>
    </row>
    <row r="2623" spans="1:5">
      <c r="A2623" t="s">
        <v>111</v>
      </c>
      <c r="B2623" t="s">
        <v>105</v>
      </c>
      <c r="C2623" s="5">
        <v>45529</v>
      </c>
      <c r="D2623">
        <v>50</v>
      </c>
      <c r="E2623">
        <f>WEEKNUM(Append321[[#This Row],[Date]])</f>
        <v>35</v>
      </c>
    </row>
    <row r="2624" spans="1:5">
      <c r="A2624" t="s">
        <v>111</v>
      </c>
      <c r="B2624" t="s">
        <v>105</v>
      </c>
      <c r="C2624" s="5">
        <v>45530</v>
      </c>
      <c r="D2624">
        <v>49</v>
      </c>
      <c r="E2624">
        <f>WEEKNUM(Append321[[#This Row],[Date]])</f>
        <v>35</v>
      </c>
    </row>
    <row r="2625" spans="1:5">
      <c r="A2625" t="s">
        <v>111</v>
      </c>
      <c r="B2625" t="s">
        <v>105</v>
      </c>
      <c r="C2625" s="5">
        <v>45531</v>
      </c>
      <c r="D2625">
        <v>44</v>
      </c>
      <c r="E2625">
        <f>WEEKNUM(Append321[[#This Row],[Date]])</f>
        <v>35</v>
      </c>
    </row>
    <row r="2626" spans="1:5">
      <c r="A2626" t="s">
        <v>111</v>
      </c>
      <c r="B2626" t="s">
        <v>105</v>
      </c>
      <c r="C2626" s="5">
        <v>45532</v>
      </c>
      <c r="D2626">
        <v>54</v>
      </c>
      <c r="E2626">
        <f>WEEKNUM(Append321[[#This Row],[Date]])</f>
        <v>35</v>
      </c>
    </row>
    <row r="2627" spans="1:5">
      <c r="A2627" t="s">
        <v>111</v>
      </c>
      <c r="B2627" t="s">
        <v>105</v>
      </c>
      <c r="C2627" s="5">
        <v>45533</v>
      </c>
      <c r="D2627">
        <v>51</v>
      </c>
      <c r="E2627">
        <f>WEEKNUM(Append321[[#This Row],[Date]])</f>
        <v>35</v>
      </c>
    </row>
    <row r="2628" spans="1:5">
      <c r="A2628" t="s">
        <v>111</v>
      </c>
      <c r="B2628" t="s">
        <v>105</v>
      </c>
      <c r="C2628" s="5">
        <v>45534</v>
      </c>
      <c r="D2628">
        <v>57</v>
      </c>
      <c r="E2628">
        <f>WEEKNUM(Append321[[#This Row],[Date]])</f>
        <v>35</v>
      </c>
    </row>
    <row r="2629" spans="1:5">
      <c r="A2629" t="s">
        <v>111</v>
      </c>
      <c r="B2629" t="s">
        <v>105</v>
      </c>
      <c r="C2629" s="5">
        <v>45535</v>
      </c>
      <c r="D2629">
        <v>50</v>
      </c>
      <c r="E2629">
        <f>WEEKNUM(Append321[[#This Row],[Date]])</f>
        <v>35</v>
      </c>
    </row>
    <row r="2630" spans="1:5">
      <c r="A2630" t="s">
        <v>111</v>
      </c>
      <c r="B2630" t="s">
        <v>107</v>
      </c>
      <c r="C2630" s="5">
        <v>45444</v>
      </c>
      <c r="D2630">
        <v>23</v>
      </c>
      <c r="E2630">
        <f>WEEKNUM(Append321[[#This Row],[Date]])</f>
        <v>22</v>
      </c>
    </row>
    <row r="2631" spans="1:5">
      <c r="A2631" t="s">
        <v>111</v>
      </c>
      <c r="B2631" t="s">
        <v>107</v>
      </c>
      <c r="C2631" s="5">
        <v>45445</v>
      </c>
      <c r="D2631">
        <v>25</v>
      </c>
      <c r="E2631">
        <f>WEEKNUM(Append321[[#This Row],[Date]])</f>
        <v>23</v>
      </c>
    </row>
    <row r="2632" spans="1:5">
      <c r="A2632" t="s">
        <v>111</v>
      </c>
      <c r="B2632" t="s">
        <v>107</v>
      </c>
      <c r="C2632" s="5">
        <v>45446</v>
      </c>
      <c r="D2632">
        <v>18</v>
      </c>
      <c r="E2632">
        <f>WEEKNUM(Append321[[#This Row],[Date]])</f>
        <v>23</v>
      </c>
    </row>
    <row r="2633" spans="1:5">
      <c r="A2633" t="s">
        <v>111</v>
      </c>
      <c r="B2633" t="s">
        <v>107</v>
      </c>
      <c r="C2633" s="5">
        <v>45447</v>
      </c>
      <c r="D2633">
        <v>24</v>
      </c>
      <c r="E2633">
        <f>WEEKNUM(Append321[[#This Row],[Date]])</f>
        <v>23</v>
      </c>
    </row>
    <row r="2634" spans="1:5">
      <c r="A2634" t="s">
        <v>111</v>
      </c>
      <c r="B2634" t="s">
        <v>107</v>
      </c>
      <c r="C2634" s="5">
        <v>45448</v>
      </c>
      <c r="D2634">
        <v>24</v>
      </c>
      <c r="E2634">
        <f>WEEKNUM(Append321[[#This Row],[Date]])</f>
        <v>23</v>
      </c>
    </row>
    <row r="2635" spans="1:5">
      <c r="A2635" t="s">
        <v>111</v>
      </c>
      <c r="B2635" t="s">
        <v>107</v>
      </c>
      <c r="C2635" s="5">
        <v>45449</v>
      </c>
      <c r="D2635">
        <v>12</v>
      </c>
      <c r="E2635">
        <f>WEEKNUM(Append321[[#This Row],[Date]])</f>
        <v>23</v>
      </c>
    </row>
    <row r="2636" spans="1:5">
      <c r="A2636" t="s">
        <v>111</v>
      </c>
      <c r="B2636" t="s">
        <v>107</v>
      </c>
      <c r="C2636" s="5">
        <v>45450</v>
      </c>
      <c r="D2636">
        <v>25</v>
      </c>
      <c r="E2636">
        <f>WEEKNUM(Append321[[#This Row],[Date]])</f>
        <v>23</v>
      </c>
    </row>
    <row r="2637" spans="1:5">
      <c r="A2637" t="s">
        <v>111</v>
      </c>
      <c r="B2637" t="s">
        <v>107</v>
      </c>
      <c r="C2637" s="5">
        <v>45451</v>
      </c>
      <c r="D2637">
        <v>22</v>
      </c>
      <c r="E2637">
        <f>WEEKNUM(Append321[[#This Row],[Date]])</f>
        <v>23</v>
      </c>
    </row>
    <row r="2638" spans="1:5">
      <c r="A2638" t="s">
        <v>111</v>
      </c>
      <c r="B2638" t="s">
        <v>107</v>
      </c>
      <c r="C2638" s="5">
        <v>45452</v>
      </c>
      <c r="D2638">
        <v>10</v>
      </c>
      <c r="E2638">
        <f>WEEKNUM(Append321[[#This Row],[Date]])</f>
        <v>24</v>
      </c>
    </row>
    <row r="2639" spans="1:5">
      <c r="A2639" t="s">
        <v>111</v>
      </c>
      <c r="B2639" t="s">
        <v>107</v>
      </c>
      <c r="C2639" s="5">
        <v>45453</v>
      </c>
      <c r="D2639">
        <v>16</v>
      </c>
      <c r="E2639">
        <f>WEEKNUM(Append321[[#This Row],[Date]])</f>
        <v>24</v>
      </c>
    </row>
    <row r="2640" spans="1:5">
      <c r="A2640" t="s">
        <v>111</v>
      </c>
      <c r="B2640" t="s">
        <v>107</v>
      </c>
      <c r="C2640" s="5">
        <v>45454</v>
      </c>
      <c r="D2640">
        <v>25</v>
      </c>
      <c r="E2640">
        <f>WEEKNUM(Append321[[#This Row],[Date]])</f>
        <v>24</v>
      </c>
    </row>
    <row r="2641" spans="1:5">
      <c r="A2641" t="s">
        <v>111</v>
      </c>
      <c r="B2641" t="s">
        <v>107</v>
      </c>
      <c r="C2641" s="5">
        <v>45455</v>
      </c>
      <c r="D2641">
        <v>19</v>
      </c>
      <c r="E2641">
        <f>WEEKNUM(Append321[[#This Row],[Date]])</f>
        <v>24</v>
      </c>
    </row>
    <row r="2642" spans="1:5">
      <c r="A2642" t="s">
        <v>111</v>
      </c>
      <c r="B2642" t="s">
        <v>107</v>
      </c>
      <c r="C2642" s="5">
        <v>45456</v>
      </c>
      <c r="D2642">
        <v>29</v>
      </c>
      <c r="E2642">
        <f>WEEKNUM(Append321[[#This Row],[Date]])</f>
        <v>24</v>
      </c>
    </row>
    <row r="2643" spans="1:5">
      <c r="A2643" t="s">
        <v>111</v>
      </c>
      <c r="B2643" t="s">
        <v>107</v>
      </c>
      <c r="C2643" s="5">
        <v>45457</v>
      </c>
      <c r="D2643">
        <v>25</v>
      </c>
      <c r="E2643">
        <f>WEEKNUM(Append321[[#This Row],[Date]])</f>
        <v>24</v>
      </c>
    </row>
    <row r="2644" spans="1:5">
      <c r="A2644" t="s">
        <v>111</v>
      </c>
      <c r="B2644" t="s">
        <v>107</v>
      </c>
      <c r="C2644" s="5">
        <v>45458</v>
      </c>
      <c r="D2644">
        <v>35</v>
      </c>
      <c r="E2644">
        <f>WEEKNUM(Append321[[#This Row],[Date]])</f>
        <v>24</v>
      </c>
    </row>
    <row r="2645" spans="1:5">
      <c r="A2645" t="s">
        <v>111</v>
      </c>
      <c r="B2645" t="s">
        <v>107</v>
      </c>
      <c r="C2645" s="5">
        <v>45459</v>
      </c>
      <c r="D2645">
        <v>23</v>
      </c>
      <c r="E2645">
        <f>WEEKNUM(Append321[[#This Row],[Date]])</f>
        <v>25</v>
      </c>
    </row>
    <row r="2646" spans="1:5">
      <c r="A2646" t="s">
        <v>111</v>
      </c>
      <c r="B2646" t="s">
        <v>107</v>
      </c>
      <c r="C2646" s="5">
        <v>45460</v>
      </c>
      <c r="D2646">
        <v>33</v>
      </c>
      <c r="E2646">
        <f>WEEKNUM(Append321[[#This Row],[Date]])</f>
        <v>25</v>
      </c>
    </row>
    <row r="2647" spans="1:5">
      <c r="A2647" t="s">
        <v>111</v>
      </c>
      <c r="B2647" t="s">
        <v>107</v>
      </c>
      <c r="C2647" s="5">
        <v>45461</v>
      </c>
      <c r="D2647">
        <v>28</v>
      </c>
      <c r="E2647">
        <f>WEEKNUM(Append321[[#This Row],[Date]])</f>
        <v>25</v>
      </c>
    </row>
    <row r="2648" spans="1:5">
      <c r="A2648" t="s">
        <v>111</v>
      </c>
      <c r="B2648" t="s">
        <v>107</v>
      </c>
      <c r="C2648" s="5">
        <v>45462</v>
      </c>
      <c r="D2648">
        <v>28</v>
      </c>
      <c r="E2648">
        <f>WEEKNUM(Append321[[#This Row],[Date]])</f>
        <v>25</v>
      </c>
    </row>
    <row r="2649" spans="1:5">
      <c r="A2649" t="s">
        <v>111</v>
      </c>
      <c r="B2649" t="s">
        <v>107</v>
      </c>
      <c r="C2649" s="5">
        <v>45463</v>
      </c>
      <c r="D2649">
        <v>21</v>
      </c>
      <c r="E2649">
        <f>WEEKNUM(Append321[[#This Row],[Date]])</f>
        <v>25</v>
      </c>
    </row>
    <row r="2650" spans="1:5">
      <c r="A2650" t="s">
        <v>111</v>
      </c>
      <c r="B2650" t="s">
        <v>107</v>
      </c>
      <c r="C2650" s="5">
        <v>45464</v>
      </c>
      <c r="D2650">
        <v>30</v>
      </c>
      <c r="E2650">
        <f>WEEKNUM(Append321[[#This Row],[Date]])</f>
        <v>25</v>
      </c>
    </row>
    <row r="2651" spans="1:5">
      <c r="A2651" t="s">
        <v>111</v>
      </c>
      <c r="B2651" t="s">
        <v>107</v>
      </c>
      <c r="C2651" s="5">
        <v>45465</v>
      </c>
      <c r="D2651">
        <v>35</v>
      </c>
      <c r="E2651">
        <f>WEEKNUM(Append321[[#This Row],[Date]])</f>
        <v>25</v>
      </c>
    </row>
    <row r="2652" spans="1:5">
      <c r="A2652" t="s">
        <v>111</v>
      </c>
      <c r="B2652" t="s">
        <v>107</v>
      </c>
      <c r="C2652" s="5">
        <v>45466</v>
      </c>
      <c r="D2652">
        <v>16</v>
      </c>
      <c r="E2652">
        <f>WEEKNUM(Append321[[#This Row],[Date]])</f>
        <v>26</v>
      </c>
    </row>
    <row r="2653" spans="1:5">
      <c r="A2653" t="s">
        <v>111</v>
      </c>
      <c r="B2653" t="s">
        <v>107</v>
      </c>
      <c r="C2653" s="5">
        <v>45467</v>
      </c>
      <c r="D2653">
        <v>23</v>
      </c>
      <c r="E2653">
        <f>WEEKNUM(Append321[[#This Row],[Date]])</f>
        <v>26</v>
      </c>
    </row>
    <row r="2654" spans="1:5">
      <c r="A2654" t="s">
        <v>111</v>
      </c>
      <c r="B2654" t="s">
        <v>107</v>
      </c>
      <c r="C2654" s="5">
        <v>45468</v>
      </c>
      <c r="D2654">
        <v>17</v>
      </c>
      <c r="E2654">
        <f>WEEKNUM(Append321[[#This Row],[Date]])</f>
        <v>26</v>
      </c>
    </row>
    <row r="2655" spans="1:5">
      <c r="A2655" t="s">
        <v>111</v>
      </c>
      <c r="B2655" t="s">
        <v>107</v>
      </c>
      <c r="C2655" s="5">
        <v>45469</v>
      </c>
      <c r="D2655">
        <v>17</v>
      </c>
      <c r="E2655">
        <f>WEEKNUM(Append321[[#This Row],[Date]])</f>
        <v>26</v>
      </c>
    </row>
    <row r="2656" spans="1:5">
      <c r="A2656" t="s">
        <v>111</v>
      </c>
      <c r="B2656" t="s">
        <v>107</v>
      </c>
      <c r="C2656" s="5">
        <v>45470</v>
      </c>
      <c r="D2656">
        <v>18</v>
      </c>
      <c r="E2656">
        <f>WEEKNUM(Append321[[#This Row],[Date]])</f>
        <v>26</v>
      </c>
    </row>
    <row r="2657" spans="1:5">
      <c r="A2657" t="s">
        <v>111</v>
      </c>
      <c r="B2657" t="s">
        <v>107</v>
      </c>
      <c r="C2657" s="5">
        <v>45471</v>
      </c>
      <c r="D2657">
        <v>21</v>
      </c>
      <c r="E2657">
        <f>WEEKNUM(Append321[[#This Row],[Date]])</f>
        <v>26</v>
      </c>
    </row>
    <row r="2658" spans="1:5">
      <c r="A2658" t="s">
        <v>111</v>
      </c>
      <c r="B2658" t="s">
        <v>107</v>
      </c>
      <c r="C2658" s="5">
        <v>45472</v>
      </c>
      <c r="D2658">
        <v>20</v>
      </c>
      <c r="E2658">
        <f>WEEKNUM(Append321[[#This Row],[Date]])</f>
        <v>26</v>
      </c>
    </row>
    <row r="2659" spans="1:5">
      <c r="A2659" t="s">
        <v>111</v>
      </c>
      <c r="B2659" t="s">
        <v>107</v>
      </c>
      <c r="C2659" s="5">
        <v>45473</v>
      </c>
      <c r="D2659">
        <v>29</v>
      </c>
      <c r="E2659">
        <f>WEEKNUM(Append321[[#This Row],[Date]])</f>
        <v>27</v>
      </c>
    </row>
    <row r="2660" spans="1:5">
      <c r="A2660" t="s">
        <v>111</v>
      </c>
      <c r="B2660" t="s">
        <v>107</v>
      </c>
      <c r="C2660" s="5">
        <v>45474</v>
      </c>
      <c r="D2660">
        <v>43</v>
      </c>
      <c r="E2660">
        <f>WEEKNUM(Append321[[#This Row],[Date]])</f>
        <v>27</v>
      </c>
    </row>
    <row r="2661" spans="1:5">
      <c r="A2661" t="s">
        <v>111</v>
      </c>
      <c r="B2661" t="s">
        <v>107</v>
      </c>
      <c r="C2661" s="5">
        <v>45475</v>
      </c>
      <c r="D2661">
        <v>41</v>
      </c>
      <c r="E2661">
        <f>WEEKNUM(Append321[[#This Row],[Date]])</f>
        <v>27</v>
      </c>
    </row>
    <row r="2662" spans="1:5">
      <c r="A2662" t="s">
        <v>111</v>
      </c>
      <c r="B2662" t="s">
        <v>107</v>
      </c>
      <c r="C2662" s="5">
        <v>45476</v>
      </c>
      <c r="D2662">
        <v>30</v>
      </c>
      <c r="E2662">
        <f>WEEKNUM(Append321[[#This Row],[Date]])</f>
        <v>27</v>
      </c>
    </row>
    <row r="2663" spans="1:5">
      <c r="A2663" t="s">
        <v>111</v>
      </c>
      <c r="B2663" t="s">
        <v>107</v>
      </c>
      <c r="C2663" s="5">
        <v>45477</v>
      </c>
      <c r="D2663">
        <v>36</v>
      </c>
      <c r="E2663">
        <f>WEEKNUM(Append321[[#This Row],[Date]])</f>
        <v>27</v>
      </c>
    </row>
    <row r="2664" spans="1:5">
      <c r="A2664" t="s">
        <v>111</v>
      </c>
      <c r="B2664" t="s">
        <v>107</v>
      </c>
      <c r="C2664" s="5">
        <v>45478</v>
      </c>
      <c r="D2664">
        <v>37</v>
      </c>
      <c r="E2664">
        <f>WEEKNUM(Append321[[#This Row],[Date]])</f>
        <v>27</v>
      </c>
    </row>
    <row r="2665" spans="1:5">
      <c r="A2665" t="s">
        <v>111</v>
      </c>
      <c r="B2665" t="s">
        <v>107</v>
      </c>
      <c r="C2665" s="5">
        <v>45479</v>
      </c>
      <c r="D2665">
        <v>52</v>
      </c>
      <c r="E2665">
        <f>WEEKNUM(Append321[[#This Row],[Date]])</f>
        <v>27</v>
      </c>
    </row>
    <row r="2666" spans="1:5">
      <c r="A2666" t="s">
        <v>111</v>
      </c>
      <c r="B2666" t="s">
        <v>107</v>
      </c>
      <c r="C2666" s="5">
        <v>45480</v>
      </c>
      <c r="D2666">
        <v>42</v>
      </c>
      <c r="E2666">
        <f>WEEKNUM(Append321[[#This Row],[Date]])</f>
        <v>28</v>
      </c>
    </row>
    <row r="2667" spans="1:5">
      <c r="A2667" t="s">
        <v>111</v>
      </c>
      <c r="B2667" t="s">
        <v>107</v>
      </c>
      <c r="C2667" s="5">
        <v>45481</v>
      </c>
      <c r="D2667">
        <v>37</v>
      </c>
      <c r="E2667">
        <f>WEEKNUM(Append321[[#This Row],[Date]])</f>
        <v>28</v>
      </c>
    </row>
    <row r="2668" spans="1:5">
      <c r="A2668" t="s">
        <v>111</v>
      </c>
      <c r="B2668" t="s">
        <v>107</v>
      </c>
      <c r="C2668" s="5">
        <v>45482</v>
      </c>
      <c r="D2668">
        <v>35</v>
      </c>
      <c r="E2668">
        <f>WEEKNUM(Append321[[#This Row],[Date]])</f>
        <v>28</v>
      </c>
    </row>
    <row r="2669" spans="1:5">
      <c r="A2669" t="s">
        <v>111</v>
      </c>
      <c r="B2669" t="s">
        <v>107</v>
      </c>
      <c r="C2669" s="5">
        <v>45483</v>
      </c>
      <c r="D2669">
        <v>25</v>
      </c>
      <c r="E2669">
        <f>WEEKNUM(Append321[[#This Row],[Date]])</f>
        <v>28</v>
      </c>
    </row>
    <row r="2670" spans="1:5">
      <c r="A2670" t="s">
        <v>111</v>
      </c>
      <c r="B2670" t="s">
        <v>107</v>
      </c>
      <c r="C2670" s="5">
        <v>45484</v>
      </c>
      <c r="D2670">
        <v>37</v>
      </c>
      <c r="E2670">
        <f>WEEKNUM(Append321[[#This Row],[Date]])</f>
        <v>28</v>
      </c>
    </row>
    <row r="2671" spans="1:5">
      <c r="A2671" t="s">
        <v>111</v>
      </c>
      <c r="B2671" t="s">
        <v>107</v>
      </c>
      <c r="C2671" s="5">
        <v>45485</v>
      </c>
      <c r="D2671">
        <v>35</v>
      </c>
      <c r="E2671">
        <f>WEEKNUM(Append321[[#This Row],[Date]])</f>
        <v>28</v>
      </c>
    </row>
    <row r="2672" spans="1:5">
      <c r="A2672" t="s">
        <v>111</v>
      </c>
      <c r="B2672" t="s">
        <v>107</v>
      </c>
      <c r="C2672" s="5">
        <v>45486</v>
      </c>
      <c r="D2672">
        <v>35</v>
      </c>
      <c r="E2672">
        <f>WEEKNUM(Append321[[#This Row],[Date]])</f>
        <v>28</v>
      </c>
    </row>
    <row r="2673" spans="1:5">
      <c r="A2673" t="s">
        <v>111</v>
      </c>
      <c r="B2673" t="s">
        <v>107</v>
      </c>
      <c r="C2673" s="5">
        <v>45487</v>
      </c>
      <c r="D2673">
        <v>24</v>
      </c>
      <c r="E2673">
        <f>WEEKNUM(Append321[[#This Row],[Date]])</f>
        <v>29</v>
      </c>
    </row>
    <row r="2674" spans="1:5">
      <c r="A2674" t="s">
        <v>111</v>
      </c>
      <c r="B2674" t="s">
        <v>107</v>
      </c>
      <c r="C2674" s="5">
        <v>45488</v>
      </c>
      <c r="D2674">
        <v>25</v>
      </c>
      <c r="E2674">
        <f>WEEKNUM(Append321[[#This Row],[Date]])</f>
        <v>29</v>
      </c>
    </row>
    <row r="2675" spans="1:5">
      <c r="A2675" t="s">
        <v>111</v>
      </c>
      <c r="B2675" t="s">
        <v>107</v>
      </c>
      <c r="C2675" s="5">
        <v>45489</v>
      </c>
      <c r="D2675">
        <v>22</v>
      </c>
      <c r="E2675">
        <f>WEEKNUM(Append321[[#This Row],[Date]])</f>
        <v>29</v>
      </c>
    </row>
    <row r="2676" spans="1:5">
      <c r="A2676" t="s">
        <v>111</v>
      </c>
      <c r="B2676" t="s">
        <v>107</v>
      </c>
      <c r="C2676" s="5">
        <v>45490</v>
      </c>
      <c r="D2676">
        <v>33</v>
      </c>
      <c r="E2676">
        <f>WEEKNUM(Append321[[#This Row],[Date]])</f>
        <v>29</v>
      </c>
    </row>
    <row r="2677" spans="1:5">
      <c r="A2677" t="s">
        <v>111</v>
      </c>
      <c r="B2677" t="s">
        <v>107</v>
      </c>
      <c r="C2677" s="5">
        <v>45491</v>
      </c>
      <c r="D2677">
        <v>35</v>
      </c>
      <c r="E2677">
        <f>WEEKNUM(Append321[[#This Row],[Date]])</f>
        <v>29</v>
      </c>
    </row>
    <row r="2678" spans="1:5">
      <c r="A2678" t="s">
        <v>111</v>
      </c>
      <c r="B2678" t="s">
        <v>107</v>
      </c>
      <c r="C2678" s="5">
        <v>45492</v>
      </c>
      <c r="D2678">
        <v>40</v>
      </c>
      <c r="E2678">
        <f>WEEKNUM(Append321[[#This Row],[Date]])</f>
        <v>29</v>
      </c>
    </row>
    <row r="2679" spans="1:5">
      <c r="A2679" t="s">
        <v>111</v>
      </c>
      <c r="B2679" t="s">
        <v>107</v>
      </c>
      <c r="C2679" s="5">
        <v>45493</v>
      </c>
      <c r="D2679">
        <v>41</v>
      </c>
      <c r="E2679">
        <f>WEEKNUM(Append321[[#This Row],[Date]])</f>
        <v>29</v>
      </c>
    </row>
    <row r="2680" spans="1:5">
      <c r="A2680" t="s">
        <v>111</v>
      </c>
      <c r="B2680" t="s">
        <v>107</v>
      </c>
      <c r="C2680" s="5">
        <v>45494</v>
      </c>
      <c r="D2680">
        <v>22</v>
      </c>
      <c r="E2680">
        <f>WEEKNUM(Append321[[#This Row],[Date]])</f>
        <v>30</v>
      </c>
    </row>
    <row r="2681" spans="1:5">
      <c r="A2681" t="s">
        <v>111</v>
      </c>
      <c r="B2681" t="s">
        <v>107</v>
      </c>
      <c r="C2681" s="5">
        <v>45495</v>
      </c>
      <c r="D2681">
        <v>35</v>
      </c>
      <c r="E2681">
        <f>WEEKNUM(Append321[[#This Row],[Date]])</f>
        <v>30</v>
      </c>
    </row>
    <row r="2682" spans="1:5">
      <c r="A2682" t="s">
        <v>111</v>
      </c>
      <c r="B2682" t="s">
        <v>107</v>
      </c>
      <c r="C2682" s="5">
        <v>45496</v>
      </c>
      <c r="D2682">
        <v>46</v>
      </c>
      <c r="E2682">
        <f>WEEKNUM(Append321[[#This Row],[Date]])</f>
        <v>30</v>
      </c>
    </row>
    <row r="2683" spans="1:5">
      <c r="A2683" t="s">
        <v>111</v>
      </c>
      <c r="B2683" t="s">
        <v>107</v>
      </c>
      <c r="C2683" s="5">
        <v>45497</v>
      </c>
      <c r="D2683">
        <v>53</v>
      </c>
      <c r="E2683">
        <f>WEEKNUM(Append321[[#This Row],[Date]])</f>
        <v>30</v>
      </c>
    </row>
    <row r="2684" spans="1:5">
      <c r="A2684" t="s">
        <v>111</v>
      </c>
      <c r="B2684" t="s">
        <v>107</v>
      </c>
      <c r="C2684" s="5">
        <v>45498</v>
      </c>
      <c r="D2684">
        <v>35</v>
      </c>
      <c r="E2684">
        <f>WEEKNUM(Append321[[#This Row],[Date]])</f>
        <v>30</v>
      </c>
    </row>
    <row r="2685" spans="1:5">
      <c r="A2685" t="s">
        <v>111</v>
      </c>
      <c r="B2685" t="s">
        <v>107</v>
      </c>
      <c r="C2685" s="5">
        <v>45499</v>
      </c>
      <c r="D2685">
        <v>43</v>
      </c>
      <c r="E2685">
        <f>WEEKNUM(Append321[[#This Row],[Date]])</f>
        <v>30</v>
      </c>
    </row>
    <row r="2686" spans="1:5">
      <c r="A2686" t="s">
        <v>111</v>
      </c>
      <c r="B2686" t="s">
        <v>107</v>
      </c>
      <c r="C2686" s="5">
        <v>45500</v>
      </c>
      <c r="D2686">
        <v>38</v>
      </c>
      <c r="E2686">
        <f>WEEKNUM(Append321[[#This Row],[Date]])</f>
        <v>30</v>
      </c>
    </row>
    <row r="2687" spans="1:5">
      <c r="A2687" t="s">
        <v>111</v>
      </c>
      <c r="B2687" t="s">
        <v>107</v>
      </c>
      <c r="C2687" s="5">
        <v>45501</v>
      </c>
      <c r="D2687">
        <v>41</v>
      </c>
      <c r="E2687">
        <f>WEEKNUM(Append321[[#This Row],[Date]])</f>
        <v>31</v>
      </c>
    </row>
    <row r="2688" spans="1:5">
      <c r="A2688" t="s">
        <v>111</v>
      </c>
      <c r="B2688" t="s">
        <v>107</v>
      </c>
      <c r="C2688" s="5">
        <v>45502</v>
      </c>
      <c r="D2688">
        <v>35</v>
      </c>
      <c r="E2688">
        <f>WEEKNUM(Append321[[#This Row],[Date]])</f>
        <v>31</v>
      </c>
    </row>
    <row r="2689" spans="1:5">
      <c r="A2689" t="s">
        <v>111</v>
      </c>
      <c r="B2689" t="s">
        <v>107</v>
      </c>
      <c r="C2689" s="5">
        <v>45503</v>
      </c>
      <c r="D2689">
        <v>30</v>
      </c>
      <c r="E2689">
        <f>WEEKNUM(Append321[[#This Row],[Date]])</f>
        <v>31</v>
      </c>
    </row>
    <row r="2690" spans="1:5">
      <c r="A2690" t="s">
        <v>111</v>
      </c>
      <c r="B2690" t="s">
        <v>107</v>
      </c>
      <c r="C2690" s="5">
        <v>45504</v>
      </c>
      <c r="D2690">
        <v>50</v>
      </c>
      <c r="E2690">
        <f>WEEKNUM(Append321[[#This Row],[Date]])</f>
        <v>31</v>
      </c>
    </row>
    <row r="2691" spans="1:5">
      <c r="A2691" t="s">
        <v>111</v>
      </c>
      <c r="B2691" t="s">
        <v>107</v>
      </c>
      <c r="C2691" s="5">
        <v>45505</v>
      </c>
      <c r="D2691">
        <v>26</v>
      </c>
      <c r="E2691">
        <f>WEEKNUM(Append321[[#This Row],[Date]])</f>
        <v>31</v>
      </c>
    </row>
    <row r="2692" spans="1:5">
      <c r="A2692" t="s">
        <v>111</v>
      </c>
      <c r="B2692" t="s">
        <v>107</v>
      </c>
      <c r="C2692" s="5">
        <v>45506</v>
      </c>
      <c r="D2692">
        <v>24</v>
      </c>
      <c r="E2692">
        <f>WEEKNUM(Append321[[#This Row],[Date]])</f>
        <v>31</v>
      </c>
    </row>
    <row r="2693" spans="1:5">
      <c r="A2693" t="s">
        <v>111</v>
      </c>
      <c r="B2693" t="s">
        <v>107</v>
      </c>
      <c r="C2693" s="5">
        <v>45507</v>
      </c>
      <c r="D2693">
        <v>30</v>
      </c>
      <c r="E2693">
        <f>WEEKNUM(Append321[[#This Row],[Date]])</f>
        <v>31</v>
      </c>
    </row>
    <row r="2694" spans="1:5">
      <c r="A2694" t="s">
        <v>111</v>
      </c>
      <c r="B2694" t="s">
        <v>107</v>
      </c>
      <c r="C2694" s="5">
        <v>45508</v>
      </c>
      <c r="D2694">
        <v>20</v>
      </c>
      <c r="E2694">
        <f>WEEKNUM(Append321[[#This Row],[Date]])</f>
        <v>32</v>
      </c>
    </row>
    <row r="2695" spans="1:5">
      <c r="A2695" t="s">
        <v>111</v>
      </c>
      <c r="B2695" t="s">
        <v>107</v>
      </c>
      <c r="C2695" s="5">
        <v>45509</v>
      </c>
      <c r="D2695">
        <v>19</v>
      </c>
      <c r="E2695">
        <f>WEEKNUM(Append321[[#This Row],[Date]])</f>
        <v>32</v>
      </c>
    </row>
    <row r="2696" spans="1:5">
      <c r="A2696" t="s">
        <v>111</v>
      </c>
      <c r="B2696" t="s">
        <v>107</v>
      </c>
      <c r="C2696" s="5">
        <v>45510</v>
      </c>
      <c r="D2696">
        <v>26</v>
      </c>
      <c r="E2696">
        <f>WEEKNUM(Append321[[#This Row],[Date]])</f>
        <v>32</v>
      </c>
    </row>
    <row r="2697" spans="1:5">
      <c r="A2697" t="s">
        <v>111</v>
      </c>
      <c r="B2697" t="s">
        <v>107</v>
      </c>
      <c r="C2697" s="5">
        <v>45511</v>
      </c>
      <c r="D2697">
        <v>18</v>
      </c>
      <c r="E2697">
        <f>WEEKNUM(Append321[[#This Row],[Date]])</f>
        <v>32</v>
      </c>
    </row>
    <row r="2698" spans="1:5">
      <c r="A2698" t="s">
        <v>111</v>
      </c>
      <c r="B2698" t="s">
        <v>107</v>
      </c>
      <c r="C2698" s="5">
        <v>45512</v>
      </c>
      <c r="D2698">
        <v>28</v>
      </c>
      <c r="E2698">
        <f>WEEKNUM(Append321[[#This Row],[Date]])</f>
        <v>32</v>
      </c>
    </row>
    <row r="2699" spans="1:5">
      <c r="A2699" t="s">
        <v>111</v>
      </c>
      <c r="B2699" t="s">
        <v>107</v>
      </c>
      <c r="C2699" s="5">
        <v>45513</v>
      </c>
      <c r="D2699">
        <v>26</v>
      </c>
      <c r="E2699">
        <f>WEEKNUM(Append321[[#This Row],[Date]])</f>
        <v>32</v>
      </c>
    </row>
    <row r="2700" spans="1:5">
      <c r="A2700" t="s">
        <v>111</v>
      </c>
      <c r="B2700" t="s">
        <v>107</v>
      </c>
      <c r="C2700" s="5">
        <v>45514</v>
      </c>
      <c r="D2700">
        <v>14</v>
      </c>
      <c r="E2700">
        <f>WEEKNUM(Append321[[#This Row],[Date]])</f>
        <v>32</v>
      </c>
    </row>
    <row r="2701" spans="1:5">
      <c r="A2701" t="s">
        <v>111</v>
      </c>
      <c r="B2701" t="s">
        <v>107</v>
      </c>
      <c r="C2701" s="5">
        <v>45515</v>
      </c>
      <c r="D2701">
        <v>17</v>
      </c>
      <c r="E2701">
        <f>WEEKNUM(Append321[[#This Row],[Date]])</f>
        <v>33</v>
      </c>
    </row>
    <row r="2702" spans="1:5">
      <c r="A2702" t="s">
        <v>111</v>
      </c>
      <c r="B2702" t="s">
        <v>107</v>
      </c>
      <c r="C2702" s="5">
        <v>45516</v>
      </c>
      <c r="D2702">
        <v>13</v>
      </c>
      <c r="E2702">
        <f>WEEKNUM(Append321[[#This Row],[Date]])</f>
        <v>33</v>
      </c>
    </row>
    <row r="2703" spans="1:5">
      <c r="A2703" t="s">
        <v>111</v>
      </c>
      <c r="B2703" t="s">
        <v>107</v>
      </c>
      <c r="C2703" s="5">
        <v>45517</v>
      </c>
      <c r="D2703">
        <v>23</v>
      </c>
      <c r="E2703">
        <f>WEEKNUM(Append321[[#This Row],[Date]])</f>
        <v>33</v>
      </c>
    </row>
    <row r="2704" spans="1:5">
      <c r="A2704" t="s">
        <v>111</v>
      </c>
      <c r="B2704" t="s">
        <v>107</v>
      </c>
      <c r="C2704" s="5">
        <v>45518</v>
      </c>
      <c r="D2704">
        <v>10</v>
      </c>
      <c r="E2704">
        <f>WEEKNUM(Append321[[#This Row],[Date]])</f>
        <v>33</v>
      </c>
    </row>
    <row r="2705" spans="1:5">
      <c r="A2705" t="s">
        <v>111</v>
      </c>
      <c r="B2705" t="s">
        <v>107</v>
      </c>
      <c r="C2705" s="5">
        <v>45519</v>
      </c>
      <c r="D2705">
        <v>28</v>
      </c>
      <c r="E2705">
        <f>WEEKNUM(Append321[[#This Row],[Date]])</f>
        <v>33</v>
      </c>
    </row>
    <row r="2706" spans="1:5">
      <c r="A2706" t="s">
        <v>111</v>
      </c>
      <c r="B2706" t="s">
        <v>107</v>
      </c>
      <c r="C2706" s="5">
        <v>45520</v>
      </c>
      <c r="D2706">
        <v>13</v>
      </c>
      <c r="E2706">
        <f>WEEKNUM(Append321[[#This Row],[Date]])</f>
        <v>33</v>
      </c>
    </row>
    <row r="2707" spans="1:5">
      <c r="A2707" t="s">
        <v>111</v>
      </c>
      <c r="B2707" t="s">
        <v>107</v>
      </c>
      <c r="C2707" s="5">
        <v>45521</v>
      </c>
      <c r="D2707">
        <v>21</v>
      </c>
      <c r="E2707">
        <f>WEEKNUM(Append321[[#This Row],[Date]])</f>
        <v>33</v>
      </c>
    </row>
    <row r="2708" spans="1:5">
      <c r="A2708" t="s">
        <v>111</v>
      </c>
      <c r="B2708" t="s">
        <v>107</v>
      </c>
      <c r="C2708" s="5">
        <v>45522</v>
      </c>
      <c r="D2708">
        <v>23</v>
      </c>
      <c r="E2708">
        <f>WEEKNUM(Append321[[#This Row],[Date]])</f>
        <v>34</v>
      </c>
    </row>
    <row r="2709" spans="1:5">
      <c r="A2709" t="s">
        <v>111</v>
      </c>
      <c r="B2709" t="s">
        <v>107</v>
      </c>
      <c r="C2709" s="5">
        <v>45523</v>
      </c>
      <c r="D2709">
        <v>31</v>
      </c>
      <c r="E2709">
        <f>WEEKNUM(Append321[[#This Row],[Date]])</f>
        <v>34</v>
      </c>
    </row>
    <row r="2710" spans="1:5">
      <c r="A2710" t="s">
        <v>111</v>
      </c>
      <c r="B2710" t="s">
        <v>107</v>
      </c>
      <c r="C2710" s="5">
        <v>45524</v>
      </c>
      <c r="D2710">
        <v>21</v>
      </c>
      <c r="E2710">
        <f>WEEKNUM(Append321[[#This Row],[Date]])</f>
        <v>34</v>
      </c>
    </row>
    <row r="2711" spans="1:5">
      <c r="A2711" t="s">
        <v>111</v>
      </c>
      <c r="B2711" t="s">
        <v>107</v>
      </c>
      <c r="C2711" s="5">
        <v>45525</v>
      </c>
      <c r="D2711">
        <v>23</v>
      </c>
      <c r="E2711">
        <f>WEEKNUM(Append321[[#This Row],[Date]])</f>
        <v>34</v>
      </c>
    </row>
    <row r="2712" spans="1:5">
      <c r="A2712" t="s">
        <v>111</v>
      </c>
      <c r="B2712" t="s">
        <v>107</v>
      </c>
      <c r="C2712" s="5">
        <v>45526</v>
      </c>
      <c r="D2712">
        <v>19</v>
      </c>
      <c r="E2712">
        <f>WEEKNUM(Append321[[#This Row],[Date]])</f>
        <v>34</v>
      </c>
    </row>
    <row r="2713" spans="1:5">
      <c r="A2713" t="s">
        <v>111</v>
      </c>
      <c r="B2713" t="s">
        <v>107</v>
      </c>
      <c r="C2713" s="5">
        <v>45527</v>
      </c>
      <c r="D2713">
        <v>28</v>
      </c>
      <c r="E2713">
        <f>WEEKNUM(Append321[[#This Row],[Date]])</f>
        <v>34</v>
      </c>
    </row>
    <row r="2714" spans="1:5">
      <c r="A2714" t="s">
        <v>111</v>
      </c>
      <c r="B2714" t="s">
        <v>107</v>
      </c>
      <c r="C2714" s="5">
        <v>45528</v>
      </c>
      <c r="D2714">
        <v>26</v>
      </c>
      <c r="E2714">
        <f>WEEKNUM(Append321[[#This Row],[Date]])</f>
        <v>34</v>
      </c>
    </row>
    <row r="2715" spans="1:5">
      <c r="A2715" t="s">
        <v>111</v>
      </c>
      <c r="B2715" t="s">
        <v>107</v>
      </c>
      <c r="C2715" s="5">
        <v>45529</v>
      </c>
      <c r="D2715">
        <v>22</v>
      </c>
      <c r="E2715">
        <f>WEEKNUM(Append321[[#This Row],[Date]])</f>
        <v>35</v>
      </c>
    </row>
    <row r="2716" spans="1:5">
      <c r="A2716" t="s">
        <v>111</v>
      </c>
      <c r="B2716" t="s">
        <v>107</v>
      </c>
      <c r="C2716" s="5">
        <v>45530</v>
      </c>
      <c r="D2716">
        <v>19</v>
      </c>
      <c r="E2716">
        <f>WEEKNUM(Append321[[#This Row],[Date]])</f>
        <v>35</v>
      </c>
    </row>
    <row r="2717" spans="1:5">
      <c r="A2717" t="s">
        <v>111</v>
      </c>
      <c r="B2717" t="s">
        <v>107</v>
      </c>
      <c r="C2717" s="5">
        <v>45531</v>
      </c>
      <c r="D2717">
        <v>30</v>
      </c>
      <c r="E2717">
        <f>WEEKNUM(Append321[[#This Row],[Date]])</f>
        <v>35</v>
      </c>
    </row>
    <row r="2718" spans="1:5">
      <c r="A2718" t="s">
        <v>111</v>
      </c>
      <c r="B2718" t="s">
        <v>107</v>
      </c>
      <c r="C2718" s="5">
        <v>45532</v>
      </c>
      <c r="D2718">
        <v>25</v>
      </c>
      <c r="E2718">
        <f>WEEKNUM(Append321[[#This Row],[Date]])</f>
        <v>35</v>
      </c>
    </row>
    <row r="2719" spans="1:5">
      <c r="A2719" t="s">
        <v>111</v>
      </c>
      <c r="B2719" t="s">
        <v>107</v>
      </c>
      <c r="C2719" s="5">
        <v>45533</v>
      </c>
      <c r="D2719">
        <v>28</v>
      </c>
      <c r="E2719">
        <f>WEEKNUM(Append321[[#This Row],[Date]])</f>
        <v>35</v>
      </c>
    </row>
    <row r="2720" spans="1:5">
      <c r="A2720" t="s">
        <v>111</v>
      </c>
      <c r="B2720" t="s">
        <v>107</v>
      </c>
      <c r="C2720" s="5">
        <v>45534</v>
      </c>
      <c r="D2720">
        <v>30</v>
      </c>
      <c r="E2720">
        <f>WEEKNUM(Append321[[#This Row],[Date]])</f>
        <v>35</v>
      </c>
    </row>
    <row r="2721" spans="1:5">
      <c r="A2721" t="s">
        <v>111</v>
      </c>
      <c r="B2721" t="s">
        <v>107</v>
      </c>
      <c r="C2721" s="5">
        <v>45535</v>
      </c>
      <c r="D2721">
        <v>28</v>
      </c>
      <c r="E2721">
        <f>WEEKNUM(Append321[[#This Row],[Date]])</f>
        <v>35</v>
      </c>
    </row>
    <row r="2722" spans="1:5">
      <c r="A2722" t="s">
        <v>111</v>
      </c>
      <c r="B2722" t="s">
        <v>108</v>
      </c>
      <c r="C2722" s="5">
        <v>45468</v>
      </c>
      <c r="D2722">
        <v>1</v>
      </c>
      <c r="E2722">
        <f>WEEKNUM(Append321[[#This Row],[Date]])</f>
        <v>26</v>
      </c>
    </row>
    <row r="2723" spans="1:5">
      <c r="A2723" t="s">
        <v>111</v>
      </c>
      <c r="B2723" t="s">
        <v>108</v>
      </c>
      <c r="C2723" s="5">
        <v>45469</v>
      </c>
      <c r="D2723">
        <v>1</v>
      </c>
      <c r="E2723">
        <f>WEEKNUM(Append321[[#This Row],[Date]])</f>
        <v>26</v>
      </c>
    </row>
    <row r="2724" spans="1:5">
      <c r="A2724" t="s">
        <v>111</v>
      </c>
      <c r="B2724" t="s">
        <v>108</v>
      </c>
      <c r="C2724" s="5">
        <v>45470</v>
      </c>
      <c r="D2724">
        <v>1</v>
      </c>
      <c r="E2724">
        <f>WEEKNUM(Append321[[#This Row],[Date]])</f>
        <v>26</v>
      </c>
    </row>
    <row r="2725" spans="1:5">
      <c r="A2725" t="s">
        <v>111</v>
      </c>
      <c r="B2725" t="s">
        <v>108</v>
      </c>
      <c r="C2725" s="5">
        <v>45471</v>
      </c>
      <c r="D2725">
        <v>4</v>
      </c>
      <c r="E2725">
        <f>WEEKNUM(Append321[[#This Row],[Date]])</f>
        <v>26</v>
      </c>
    </row>
    <row r="2726" spans="1:5">
      <c r="A2726" t="s">
        <v>111</v>
      </c>
      <c r="B2726" t="s">
        <v>108</v>
      </c>
      <c r="C2726" s="5">
        <v>45472</v>
      </c>
      <c r="D2726">
        <v>6</v>
      </c>
      <c r="E2726">
        <f>WEEKNUM(Append321[[#This Row],[Date]])</f>
        <v>26</v>
      </c>
    </row>
    <row r="2727" spans="1:5">
      <c r="A2727" t="s">
        <v>111</v>
      </c>
      <c r="B2727" t="s">
        <v>108</v>
      </c>
      <c r="C2727" s="5">
        <v>45474</v>
      </c>
      <c r="D2727">
        <v>10</v>
      </c>
      <c r="E2727">
        <f>WEEKNUM(Append321[[#This Row],[Date]])</f>
        <v>27</v>
      </c>
    </row>
    <row r="2728" spans="1:5">
      <c r="A2728" t="s">
        <v>111</v>
      </c>
      <c r="B2728" t="s">
        <v>108</v>
      </c>
      <c r="C2728" s="5">
        <v>45475</v>
      </c>
      <c r="D2728">
        <v>19</v>
      </c>
      <c r="E2728">
        <f>WEEKNUM(Append321[[#This Row],[Date]])</f>
        <v>27</v>
      </c>
    </row>
    <row r="2729" spans="1:5">
      <c r="A2729" t="s">
        <v>111</v>
      </c>
      <c r="B2729" t="s">
        <v>108</v>
      </c>
      <c r="C2729" s="5">
        <v>45476</v>
      </c>
      <c r="D2729">
        <v>21</v>
      </c>
      <c r="E2729">
        <f>WEEKNUM(Append321[[#This Row],[Date]])</f>
        <v>27</v>
      </c>
    </row>
    <row r="2730" spans="1:5">
      <c r="A2730" t="s">
        <v>111</v>
      </c>
      <c r="B2730" t="s">
        <v>108</v>
      </c>
      <c r="C2730" s="5">
        <v>45477</v>
      </c>
      <c r="D2730">
        <v>30</v>
      </c>
      <c r="E2730">
        <f>WEEKNUM(Append321[[#This Row],[Date]])</f>
        <v>27</v>
      </c>
    </row>
    <row r="2731" spans="1:5">
      <c r="A2731" t="s">
        <v>111</v>
      </c>
      <c r="B2731" t="s">
        <v>108</v>
      </c>
      <c r="C2731" s="5">
        <v>45478</v>
      </c>
      <c r="D2731">
        <v>25</v>
      </c>
      <c r="E2731">
        <f>WEEKNUM(Append321[[#This Row],[Date]])</f>
        <v>27</v>
      </c>
    </row>
    <row r="2732" spans="1:5">
      <c r="A2732" t="s">
        <v>111</v>
      </c>
      <c r="B2732" t="s">
        <v>108</v>
      </c>
      <c r="C2732" s="5">
        <v>45479</v>
      </c>
      <c r="D2732">
        <v>28</v>
      </c>
      <c r="E2732">
        <f>WEEKNUM(Append321[[#This Row],[Date]])</f>
        <v>27</v>
      </c>
    </row>
    <row r="2733" spans="1:5">
      <c r="A2733" t="s">
        <v>111</v>
      </c>
      <c r="B2733" t="s">
        <v>108</v>
      </c>
      <c r="C2733" s="5">
        <v>45480</v>
      </c>
      <c r="D2733">
        <v>21</v>
      </c>
      <c r="E2733">
        <f>WEEKNUM(Append321[[#This Row],[Date]])</f>
        <v>28</v>
      </c>
    </row>
    <row r="2734" spans="1:5">
      <c r="A2734" t="s">
        <v>111</v>
      </c>
      <c r="B2734" t="s">
        <v>108</v>
      </c>
      <c r="C2734" s="5">
        <v>45481</v>
      </c>
      <c r="D2734">
        <v>22</v>
      </c>
      <c r="E2734">
        <f>WEEKNUM(Append321[[#This Row],[Date]])</f>
        <v>28</v>
      </c>
    </row>
    <row r="2735" spans="1:5">
      <c r="A2735" t="s">
        <v>111</v>
      </c>
      <c r="B2735" t="s">
        <v>108</v>
      </c>
      <c r="C2735" s="5">
        <v>45482</v>
      </c>
      <c r="D2735">
        <v>31</v>
      </c>
      <c r="E2735">
        <f>WEEKNUM(Append321[[#This Row],[Date]])</f>
        <v>28</v>
      </c>
    </row>
    <row r="2736" spans="1:5">
      <c r="A2736" t="s">
        <v>111</v>
      </c>
      <c r="B2736" t="s">
        <v>108</v>
      </c>
      <c r="C2736" s="5">
        <v>45483</v>
      </c>
      <c r="D2736">
        <v>43</v>
      </c>
      <c r="E2736">
        <f>WEEKNUM(Append321[[#This Row],[Date]])</f>
        <v>28</v>
      </c>
    </row>
    <row r="2737" spans="1:5">
      <c r="A2737" t="s">
        <v>111</v>
      </c>
      <c r="B2737" t="s">
        <v>108</v>
      </c>
      <c r="C2737" s="5">
        <v>45484</v>
      </c>
      <c r="D2737">
        <v>26</v>
      </c>
      <c r="E2737">
        <f>WEEKNUM(Append321[[#This Row],[Date]])</f>
        <v>28</v>
      </c>
    </row>
    <row r="2738" spans="1:5">
      <c r="A2738" t="s">
        <v>111</v>
      </c>
      <c r="B2738" t="s">
        <v>108</v>
      </c>
      <c r="C2738" s="5">
        <v>45485</v>
      </c>
      <c r="D2738">
        <v>29</v>
      </c>
      <c r="E2738">
        <f>WEEKNUM(Append321[[#This Row],[Date]])</f>
        <v>28</v>
      </c>
    </row>
    <row r="2739" spans="1:5">
      <c r="A2739" t="s">
        <v>111</v>
      </c>
      <c r="B2739" t="s">
        <v>108</v>
      </c>
      <c r="C2739" s="5">
        <v>45486</v>
      </c>
      <c r="D2739">
        <v>30</v>
      </c>
      <c r="E2739">
        <f>WEEKNUM(Append321[[#This Row],[Date]])</f>
        <v>28</v>
      </c>
    </row>
    <row r="2740" spans="1:5">
      <c r="A2740" t="s">
        <v>111</v>
      </c>
      <c r="B2740" t="s">
        <v>108</v>
      </c>
      <c r="C2740" s="5">
        <v>45487</v>
      </c>
      <c r="D2740">
        <v>36</v>
      </c>
      <c r="E2740">
        <f>WEEKNUM(Append321[[#This Row],[Date]])</f>
        <v>29</v>
      </c>
    </row>
    <row r="2741" spans="1:5">
      <c r="A2741" t="s">
        <v>111</v>
      </c>
      <c r="B2741" t="s">
        <v>108</v>
      </c>
      <c r="C2741" s="5">
        <v>45488</v>
      </c>
      <c r="D2741">
        <v>48</v>
      </c>
      <c r="E2741">
        <f>WEEKNUM(Append321[[#This Row],[Date]])</f>
        <v>29</v>
      </c>
    </row>
    <row r="2742" spans="1:5">
      <c r="A2742" t="s">
        <v>111</v>
      </c>
      <c r="B2742" t="s">
        <v>108</v>
      </c>
      <c r="C2742" s="5">
        <v>45489</v>
      </c>
      <c r="D2742">
        <v>33</v>
      </c>
      <c r="E2742">
        <f>WEEKNUM(Append321[[#This Row],[Date]])</f>
        <v>29</v>
      </c>
    </row>
    <row r="2743" spans="1:5">
      <c r="A2743" t="s">
        <v>111</v>
      </c>
      <c r="B2743" t="s">
        <v>108</v>
      </c>
      <c r="C2743" s="5">
        <v>45490</v>
      </c>
      <c r="D2743">
        <v>36</v>
      </c>
      <c r="E2743">
        <f>WEEKNUM(Append321[[#This Row],[Date]])</f>
        <v>29</v>
      </c>
    </row>
    <row r="2744" spans="1:5">
      <c r="A2744" t="s">
        <v>111</v>
      </c>
      <c r="B2744" t="s">
        <v>108</v>
      </c>
      <c r="C2744" s="5">
        <v>45491</v>
      </c>
      <c r="D2744">
        <v>38</v>
      </c>
      <c r="E2744">
        <f>WEEKNUM(Append321[[#This Row],[Date]])</f>
        <v>29</v>
      </c>
    </row>
    <row r="2745" spans="1:5">
      <c r="A2745" t="s">
        <v>111</v>
      </c>
      <c r="B2745" t="s">
        <v>108</v>
      </c>
      <c r="C2745" s="5">
        <v>45492</v>
      </c>
      <c r="D2745">
        <v>30</v>
      </c>
      <c r="E2745">
        <f>WEEKNUM(Append321[[#This Row],[Date]])</f>
        <v>29</v>
      </c>
    </row>
    <row r="2746" spans="1:5">
      <c r="A2746" t="s">
        <v>111</v>
      </c>
      <c r="B2746" t="s">
        <v>108</v>
      </c>
      <c r="C2746" s="5">
        <v>45493</v>
      </c>
      <c r="D2746">
        <v>54</v>
      </c>
      <c r="E2746">
        <f>WEEKNUM(Append321[[#This Row],[Date]])</f>
        <v>29</v>
      </c>
    </row>
    <row r="2747" spans="1:5">
      <c r="A2747" t="s">
        <v>111</v>
      </c>
      <c r="B2747" t="s">
        <v>108</v>
      </c>
      <c r="C2747" s="5">
        <v>45494</v>
      </c>
      <c r="D2747">
        <v>41</v>
      </c>
      <c r="E2747">
        <f>WEEKNUM(Append321[[#This Row],[Date]])</f>
        <v>30</v>
      </c>
    </row>
    <row r="2748" spans="1:5">
      <c r="A2748" t="s">
        <v>111</v>
      </c>
      <c r="B2748" t="s">
        <v>108</v>
      </c>
      <c r="C2748" s="5">
        <v>45495</v>
      </c>
      <c r="D2748">
        <v>49</v>
      </c>
      <c r="E2748">
        <f>WEEKNUM(Append321[[#This Row],[Date]])</f>
        <v>30</v>
      </c>
    </row>
    <row r="2749" spans="1:5">
      <c r="A2749" t="s">
        <v>111</v>
      </c>
      <c r="B2749" t="s">
        <v>108</v>
      </c>
      <c r="C2749" s="5">
        <v>45496</v>
      </c>
      <c r="D2749">
        <v>45</v>
      </c>
      <c r="E2749">
        <f>WEEKNUM(Append321[[#This Row],[Date]])</f>
        <v>30</v>
      </c>
    </row>
    <row r="2750" spans="1:5">
      <c r="A2750" t="s">
        <v>111</v>
      </c>
      <c r="B2750" t="s">
        <v>108</v>
      </c>
      <c r="C2750" s="5">
        <v>45497</v>
      </c>
      <c r="D2750">
        <v>52</v>
      </c>
      <c r="E2750">
        <f>WEEKNUM(Append321[[#This Row],[Date]])</f>
        <v>30</v>
      </c>
    </row>
    <row r="2751" spans="1:5">
      <c r="A2751" t="s">
        <v>111</v>
      </c>
      <c r="B2751" t="s">
        <v>108</v>
      </c>
      <c r="C2751" s="5">
        <v>45498</v>
      </c>
      <c r="D2751">
        <v>31</v>
      </c>
      <c r="E2751">
        <f>WEEKNUM(Append321[[#This Row],[Date]])</f>
        <v>30</v>
      </c>
    </row>
    <row r="2752" spans="1:5">
      <c r="A2752" t="s">
        <v>111</v>
      </c>
      <c r="B2752" t="s">
        <v>108</v>
      </c>
      <c r="C2752" s="5">
        <v>45499</v>
      </c>
      <c r="D2752">
        <v>55</v>
      </c>
      <c r="E2752">
        <f>WEEKNUM(Append321[[#This Row],[Date]])</f>
        <v>30</v>
      </c>
    </row>
    <row r="2753" spans="1:5">
      <c r="A2753" t="s">
        <v>111</v>
      </c>
      <c r="B2753" t="s">
        <v>108</v>
      </c>
      <c r="C2753" s="5">
        <v>45500</v>
      </c>
      <c r="D2753">
        <v>55</v>
      </c>
      <c r="E2753">
        <f>WEEKNUM(Append321[[#This Row],[Date]])</f>
        <v>30</v>
      </c>
    </row>
    <row r="2754" spans="1:5">
      <c r="A2754" t="s">
        <v>111</v>
      </c>
      <c r="B2754" t="s">
        <v>108</v>
      </c>
      <c r="C2754" s="5">
        <v>45501</v>
      </c>
      <c r="D2754">
        <v>46</v>
      </c>
      <c r="E2754">
        <f>WEEKNUM(Append321[[#This Row],[Date]])</f>
        <v>31</v>
      </c>
    </row>
    <row r="2755" spans="1:5">
      <c r="A2755" t="s">
        <v>111</v>
      </c>
      <c r="B2755" t="s">
        <v>108</v>
      </c>
      <c r="C2755" s="5">
        <v>45502</v>
      </c>
      <c r="D2755">
        <v>45</v>
      </c>
      <c r="E2755">
        <f>WEEKNUM(Append321[[#This Row],[Date]])</f>
        <v>31</v>
      </c>
    </row>
    <row r="2756" spans="1:5">
      <c r="A2756" t="s">
        <v>111</v>
      </c>
      <c r="B2756" t="s">
        <v>108</v>
      </c>
      <c r="C2756" s="5">
        <v>45503</v>
      </c>
      <c r="D2756">
        <v>51</v>
      </c>
      <c r="E2756">
        <f>WEEKNUM(Append321[[#This Row],[Date]])</f>
        <v>31</v>
      </c>
    </row>
    <row r="2757" spans="1:5">
      <c r="A2757" t="s">
        <v>111</v>
      </c>
      <c r="B2757" t="s">
        <v>108</v>
      </c>
      <c r="C2757" s="5">
        <v>45504</v>
      </c>
      <c r="D2757">
        <v>47</v>
      </c>
      <c r="E2757">
        <f>WEEKNUM(Append321[[#This Row],[Date]])</f>
        <v>31</v>
      </c>
    </row>
    <row r="2758" spans="1:5">
      <c r="A2758" t="s">
        <v>111</v>
      </c>
      <c r="B2758" t="s">
        <v>108</v>
      </c>
      <c r="C2758" s="5">
        <v>45505</v>
      </c>
      <c r="D2758">
        <v>44</v>
      </c>
      <c r="E2758">
        <f>WEEKNUM(Append321[[#This Row],[Date]])</f>
        <v>31</v>
      </c>
    </row>
    <row r="2759" spans="1:5">
      <c r="A2759" t="s">
        <v>111</v>
      </c>
      <c r="B2759" t="s">
        <v>108</v>
      </c>
      <c r="C2759" s="5">
        <v>45506</v>
      </c>
      <c r="D2759">
        <v>38</v>
      </c>
      <c r="E2759">
        <f>WEEKNUM(Append321[[#This Row],[Date]])</f>
        <v>31</v>
      </c>
    </row>
    <row r="2760" spans="1:5">
      <c r="A2760" t="s">
        <v>111</v>
      </c>
      <c r="B2760" t="s">
        <v>108</v>
      </c>
      <c r="C2760" s="5">
        <v>45507</v>
      </c>
      <c r="D2760">
        <v>62</v>
      </c>
      <c r="E2760">
        <f>WEEKNUM(Append321[[#This Row],[Date]])</f>
        <v>31</v>
      </c>
    </row>
    <row r="2761" spans="1:5">
      <c r="A2761" t="s">
        <v>111</v>
      </c>
      <c r="B2761" t="s">
        <v>108</v>
      </c>
      <c r="C2761" s="5">
        <v>45508</v>
      </c>
      <c r="D2761">
        <v>40</v>
      </c>
      <c r="E2761">
        <f>WEEKNUM(Append321[[#This Row],[Date]])</f>
        <v>32</v>
      </c>
    </row>
    <row r="2762" spans="1:5">
      <c r="A2762" t="s">
        <v>111</v>
      </c>
      <c r="B2762" t="s">
        <v>108</v>
      </c>
      <c r="C2762" s="5">
        <v>45509</v>
      </c>
      <c r="D2762">
        <v>37</v>
      </c>
      <c r="E2762">
        <f>WEEKNUM(Append321[[#This Row],[Date]])</f>
        <v>32</v>
      </c>
    </row>
    <row r="2763" spans="1:5">
      <c r="A2763" t="s">
        <v>111</v>
      </c>
      <c r="B2763" t="s">
        <v>108</v>
      </c>
      <c r="C2763" s="5">
        <v>45510</v>
      </c>
      <c r="D2763">
        <v>38</v>
      </c>
      <c r="E2763">
        <f>WEEKNUM(Append321[[#This Row],[Date]])</f>
        <v>32</v>
      </c>
    </row>
    <row r="2764" spans="1:5">
      <c r="A2764" t="s">
        <v>111</v>
      </c>
      <c r="B2764" t="s">
        <v>108</v>
      </c>
      <c r="C2764" s="5">
        <v>45511</v>
      </c>
      <c r="D2764">
        <v>46</v>
      </c>
      <c r="E2764">
        <f>WEEKNUM(Append321[[#This Row],[Date]])</f>
        <v>32</v>
      </c>
    </row>
    <row r="2765" spans="1:5">
      <c r="A2765" t="s">
        <v>111</v>
      </c>
      <c r="B2765" t="s">
        <v>108</v>
      </c>
      <c r="C2765" s="5">
        <v>45512</v>
      </c>
      <c r="D2765">
        <v>46</v>
      </c>
      <c r="E2765">
        <f>WEEKNUM(Append321[[#This Row],[Date]])</f>
        <v>32</v>
      </c>
    </row>
    <row r="2766" spans="1:5">
      <c r="A2766" t="s">
        <v>111</v>
      </c>
      <c r="B2766" t="s">
        <v>108</v>
      </c>
      <c r="C2766" s="5">
        <v>45513</v>
      </c>
      <c r="D2766">
        <v>55</v>
      </c>
      <c r="E2766">
        <f>WEEKNUM(Append321[[#This Row],[Date]])</f>
        <v>32</v>
      </c>
    </row>
    <row r="2767" spans="1:5">
      <c r="A2767" t="s">
        <v>111</v>
      </c>
      <c r="B2767" t="s">
        <v>108</v>
      </c>
      <c r="C2767" s="5">
        <v>45514</v>
      </c>
      <c r="D2767">
        <v>69</v>
      </c>
      <c r="E2767">
        <f>WEEKNUM(Append321[[#This Row],[Date]])</f>
        <v>32</v>
      </c>
    </row>
    <row r="2768" spans="1:5">
      <c r="A2768" t="s">
        <v>111</v>
      </c>
      <c r="B2768" t="s">
        <v>108</v>
      </c>
      <c r="C2768" s="5">
        <v>45515</v>
      </c>
      <c r="D2768">
        <v>53</v>
      </c>
      <c r="E2768">
        <f>WEEKNUM(Append321[[#This Row],[Date]])</f>
        <v>33</v>
      </c>
    </row>
    <row r="2769" spans="1:5">
      <c r="A2769" t="s">
        <v>111</v>
      </c>
      <c r="B2769" t="s">
        <v>108</v>
      </c>
      <c r="C2769" s="5">
        <v>45516</v>
      </c>
      <c r="D2769">
        <v>57</v>
      </c>
      <c r="E2769">
        <f>WEEKNUM(Append321[[#This Row],[Date]])</f>
        <v>33</v>
      </c>
    </row>
    <row r="2770" spans="1:5">
      <c r="A2770" t="s">
        <v>111</v>
      </c>
      <c r="B2770" t="s">
        <v>108</v>
      </c>
      <c r="C2770" s="5">
        <v>45517</v>
      </c>
      <c r="D2770">
        <v>60</v>
      </c>
      <c r="E2770">
        <f>WEEKNUM(Append321[[#This Row],[Date]])</f>
        <v>33</v>
      </c>
    </row>
    <row r="2771" spans="1:5">
      <c r="A2771" t="s">
        <v>111</v>
      </c>
      <c r="B2771" t="s">
        <v>108</v>
      </c>
      <c r="C2771" s="5">
        <v>45518</v>
      </c>
      <c r="D2771">
        <v>71</v>
      </c>
      <c r="E2771">
        <f>WEEKNUM(Append321[[#This Row],[Date]])</f>
        <v>33</v>
      </c>
    </row>
    <row r="2772" spans="1:5">
      <c r="A2772" t="s">
        <v>111</v>
      </c>
      <c r="B2772" t="s">
        <v>108</v>
      </c>
      <c r="C2772" s="5">
        <v>45519</v>
      </c>
      <c r="D2772">
        <v>39</v>
      </c>
      <c r="E2772">
        <f>WEEKNUM(Append321[[#This Row],[Date]])</f>
        <v>33</v>
      </c>
    </row>
    <row r="2773" spans="1:5">
      <c r="A2773" t="s">
        <v>111</v>
      </c>
      <c r="B2773" t="s">
        <v>108</v>
      </c>
      <c r="C2773" s="5">
        <v>45520</v>
      </c>
      <c r="D2773">
        <v>39</v>
      </c>
      <c r="E2773">
        <f>WEEKNUM(Append321[[#This Row],[Date]])</f>
        <v>33</v>
      </c>
    </row>
    <row r="2774" spans="1:5">
      <c r="A2774" t="s">
        <v>111</v>
      </c>
      <c r="B2774" t="s">
        <v>108</v>
      </c>
      <c r="C2774" s="5">
        <v>45521</v>
      </c>
      <c r="D2774">
        <v>30</v>
      </c>
      <c r="E2774">
        <f>WEEKNUM(Append321[[#This Row],[Date]])</f>
        <v>33</v>
      </c>
    </row>
    <row r="2775" spans="1:5">
      <c r="A2775" t="s">
        <v>111</v>
      </c>
      <c r="B2775" t="s">
        <v>108</v>
      </c>
      <c r="C2775" s="5">
        <v>45522</v>
      </c>
      <c r="D2775">
        <v>40</v>
      </c>
      <c r="E2775">
        <f>WEEKNUM(Append321[[#This Row],[Date]])</f>
        <v>34</v>
      </c>
    </row>
    <row r="2776" spans="1:5">
      <c r="A2776" t="s">
        <v>111</v>
      </c>
      <c r="B2776" t="s">
        <v>108</v>
      </c>
      <c r="C2776" s="5">
        <v>45523</v>
      </c>
      <c r="D2776">
        <v>57</v>
      </c>
      <c r="E2776">
        <f>WEEKNUM(Append321[[#This Row],[Date]])</f>
        <v>34</v>
      </c>
    </row>
    <row r="2777" spans="1:5">
      <c r="A2777" t="s">
        <v>111</v>
      </c>
      <c r="B2777" t="s">
        <v>108</v>
      </c>
      <c r="C2777" s="5">
        <v>45524</v>
      </c>
      <c r="D2777">
        <v>69</v>
      </c>
      <c r="E2777">
        <f>WEEKNUM(Append321[[#This Row],[Date]])</f>
        <v>34</v>
      </c>
    </row>
    <row r="2778" spans="1:5">
      <c r="A2778" t="s">
        <v>111</v>
      </c>
      <c r="B2778" t="s">
        <v>108</v>
      </c>
      <c r="C2778" s="5">
        <v>45525</v>
      </c>
      <c r="D2778">
        <v>67</v>
      </c>
      <c r="E2778">
        <f>WEEKNUM(Append321[[#This Row],[Date]])</f>
        <v>34</v>
      </c>
    </row>
    <row r="2779" spans="1:5">
      <c r="A2779" t="s">
        <v>111</v>
      </c>
      <c r="B2779" t="s">
        <v>108</v>
      </c>
      <c r="C2779" s="5">
        <v>45526</v>
      </c>
      <c r="D2779">
        <v>54</v>
      </c>
      <c r="E2779">
        <f>WEEKNUM(Append321[[#This Row],[Date]])</f>
        <v>34</v>
      </c>
    </row>
    <row r="2780" spans="1:5">
      <c r="A2780" t="s">
        <v>111</v>
      </c>
      <c r="B2780" t="s">
        <v>108</v>
      </c>
      <c r="C2780" s="5">
        <v>45527</v>
      </c>
      <c r="D2780">
        <v>52</v>
      </c>
      <c r="E2780">
        <f>WEEKNUM(Append321[[#This Row],[Date]])</f>
        <v>34</v>
      </c>
    </row>
    <row r="2781" spans="1:5">
      <c r="A2781" t="s">
        <v>111</v>
      </c>
      <c r="B2781" t="s">
        <v>108</v>
      </c>
      <c r="C2781" s="5">
        <v>45528</v>
      </c>
      <c r="D2781">
        <v>49</v>
      </c>
      <c r="E2781">
        <f>WEEKNUM(Append321[[#This Row],[Date]])</f>
        <v>34</v>
      </c>
    </row>
    <row r="2782" spans="1:5">
      <c r="A2782" t="s">
        <v>111</v>
      </c>
      <c r="B2782" t="s">
        <v>108</v>
      </c>
      <c r="C2782" s="5">
        <v>45529</v>
      </c>
      <c r="D2782">
        <v>61</v>
      </c>
      <c r="E2782">
        <f>WEEKNUM(Append321[[#This Row],[Date]])</f>
        <v>35</v>
      </c>
    </row>
    <row r="2783" spans="1:5">
      <c r="A2783" t="s">
        <v>111</v>
      </c>
      <c r="B2783" t="s">
        <v>108</v>
      </c>
      <c r="C2783" s="5">
        <v>45530</v>
      </c>
      <c r="D2783">
        <v>63</v>
      </c>
      <c r="E2783">
        <f>WEEKNUM(Append321[[#This Row],[Date]])</f>
        <v>35</v>
      </c>
    </row>
    <row r="2784" spans="1:5">
      <c r="A2784" t="s">
        <v>111</v>
      </c>
      <c r="B2784" t="s">
        <v>108</v>
      </c>
      <c r="C2784" s="5">
        <v>45531</v>
      </c>
      <c r="D2784">
        <v>60</v>
      </c>
      <c r="E2784">
        <f>WEEKNUM(Append321[[#This Row],[Date]])</f>
        <v>35</v>
      </c>
    </row>
    <row r="2785" spans="1:5">
      <c r="A2785" t="s">
        <v>111</v>
      </c>
      <c r="B2785" t="s">
        <v>108</v>
      </c>
      <c r="C2785" s="5">
        <v>45532</v>
      </c>
      <c r="D2785">
        <v>58</v>
      </c>
      <c r="E2785">
        <f>WEEKNUM(Append321[[#This Row],[Date]])</f>
        <v>35</v>
      </c>
    </row>
    <row r="2786" spans="1:5">
      <c r="A2786" t="s">
        <v>111</v>
      </c>
      <c r="B2786" t="s">
        <v>108</v>
      </c>
      <c r="C2786" s="5">
        <v>45533</v>
      </c>
      <c r="D2786">
        <v>38</v>
      </c>
      <c r="E2786">
        <f>WEEKNUM(Append321[[#This Row],[Date]])</f>
        <v>35</v>
      </c>
    </row>
    <row r="2787" spans="1:5">
      <c r="A2787" t="s">
        <v>111</v>
      </c>
      <c r="B2787" t="s">
        <v>108</v>
      </c>
      <c r="C2787" s="5">
        <v>45534</v>
      </c>
      <c r="D2787">
        <v>40</v>
      </c>
      <c r="E2787">
        <f>WEEKNUM(Append321[[#This Row],[Date]])</f>
        <v>35</v>
      </c>
    </row>
    <row r="2788" spans="1:5">
      <c r="A2788" t="s">
        <v>111</v>
      </c>
      <c r="B2788" t="s">
        <v>108</v>
      </c>
      <c r="C2788" s="5">
        <v>45535</v>
      </c>
      <c r="D2788">
        <v>43</v>
      </c>
      <c r="E2788">
        <f>WEEKNUM(Append321[[#This Row],[Date]])</f>
        <v>35</v>
      </c>
    </row>
    <row r="2789" spans="1:5">
      <c r="A2789" t="s">
        <v>111</v>
      </c>
      <c r="B2789" t="s">
        <v>109</v>
      </c>
      <c r="C2789" s="5">
        <v>45444</v>
      </c>
      <c r="D2789">
        <v>23</v>
      </c>
      <c r="E2789">
        <f>WEEKNUM(Append321[[#This Row],[Date]])</f>
        <v>22</v>
      </c>
    </row>
    <row r="2790" spans="1:5">
      <c r="A2790" t="s">
        <v>111</v>
      </c>
      <c r="B2790" t="s">
        <v>109</v>
      </c>
      <c r="C2790" s="5">
        <v>45445</v>
      </c>
      <c r="D2790">
        <v>25</v>
      </c>
      <c r="E2790">
        <f>WEEKNUM(Append321[[#This Row],[Date]])</f>
        <v>23</v>
      </c>
    </row>
    <row r="2791" spans="1:5">
      <c r="A2791" t="s">
        <v>111</v>
      </c>
      <c r="B2791" t="s">
        <v>109</v>
      </c>
      <c r="C2791" s="5">
        <v>45446</v>
      </c>
      <c r="D2791">
        <v>18</v>
      </c>
      <c r="E2791">
        <f>WEEKNUM(Append321[[#This Row],[Date]])</f>
        <v>23</v>
      </c>
    </row>
    <row r="2792" spans="1:5">
      <c r="A2792" t="s">
        <v>111</v>
      </c>
      <c r="B2792" t="s">
        <v>109</v>
      </c>
      <c r="C2792" s="5">
        <v>45447</v>
      </c>
      <c r="D2792">
        <v>24</v>
      </c>
      <c r="E2792">
        <f>WEEKNUM(Append321[[#This Row],[Date]])</f>
        <v>23</v>
      </c>
    </row>
    <row r="2793" spans="1:5">
      <c r="A2793" t="s">
        <v>111</v>
      </c>
      <c r="B2793" t="s">
        <v>109</v>
      </c>
      <c r="C2793" s="5">
        <v>45448</v>
      </c>
      <c r="D2793">
        <v>24</v>
      </c>
      <c r="E2793">
        <f>WEEKNUM(Append321[[#This Row],[Date]])</f>
        <v>23</v>
      </c>
    </row>
    <row r="2794" spans="1:5">
      <c r="A2794" t="s">
        <v>111</v>
      </c>
      <c r="B2794" t="s">
        <v>109</v>
      </c>
      <c r="C2794" s="5">
        <v>45449</v>
      </c>
      <c r="D2794">
        <v>12</v>
      </c>
      <c r="E2794">
        <f>WEEKNUM(Append321[[#This Row],[Date]])</f>
        <v>23</v>
      </c>
    </row>
    <row r="2795" spans="1:5">
      <c r="A2795" t="s">
        <v>111</v>
      </c>
      <c r="B2795" t="s">
        <v>109</v>
      </c>
      <c r="C2795" s="5">
        <v>45450</v>
      </c>
      <c r="D2795">
        <v>25</v>
      </c>
      <c r="E2795">
        <f>WEEKNUM(Append321[[#This Row],[Date]])</f>
        <v>23</v>
      </c>
    </row>
    <row r="2796" spans="1:5">
      <c r="A2796" t="s">
        <v>111</v>
      </c>
      <c r="B2796" t="s">
        <v>109</v>
      </c>
      <c r="C2796" s="5">
        <v>45451</v>
      </c>
      <c r="D2796">
        <v>22</v>
      </c>
      <c r="E2796">
        <f>WEEKNUM(Append321[[#This Row],[Date]])</f>
        <v>23</v>
      </c>
    </row>
    <row r="2797" spans="1:5">
      <c r="A2797" t="s">
        <v>111</v>
      </c>
      <c r="B2797" t="s">
        <v>109</v>
      </c>
      <c r="C2797" s="5">
        <v>45452</v>
      </c>
      <c r="D2797">
        <v>10</v>
      </c>
      <c r="E2797">
        <f>WEEKNUM(Append321[[#This Row],[Date]])</f>
        <v>24</v>
      </c>
    </row>
    <row r="2798" spans="1:5">
      <c r="A2798" t="s">
        <v>111</v>
      </c>
      <c r="B2798" t="s">
        <v>109</v>
      </c>
      <c r="C2798" s="5">
        <v>45453</v>
      </c>
      <c r="D2798">
        <v>16</v>
      </c>
      <c r="E2798">
        <f>WEEKNUM(Append321[[#This Row],[Date]])</f>
        <v>24</v>
      </c>
    </row>
    <row r="2799" spans="1:5">
      <c r="A2799" t="s">
        <v>111</v>
      </c>
      <c r="B2799" t="s">
        <v>109</v>
      </c>
      <c r="C2799" s="5">
        <v>45454</v>
      </c>
      <c r="D2799">
        <v>25</v>
      </c>
      <c r="E2799">
        <f>WEEKNUM(Append321[[#This Row],[Date]])</f>
        <v>24</v>
      </c>
    </row>
    <row r="2800" spans="1:5">
      <c r="A2800" t="s">
        <v>111</v>
      </c>
      <c r="B2800" t="s">
        <v>109</v>
      </c>
      <c r="C2800" s="5">
        <v>45455</v>
      </c>
      <c r="D2800">
        <v>19</v>
      </c>
      <c r="E2800">
        <f>WEEKNUM(Append321[[#This Row],[Date]])</f>
        <v>24</v>
      </c>
    </row>
    <row r="2801" spans="1:5">
      <c r="A2801" t="s">
        <v>111</v>
      </c>
      <c r="B2801" t="s">
        <v>109</v>
      </c>
      <c r="C2801" s="5">
        <v>45456</v>
      </c>
      <c r="D2801">
        <v>29</v>
      </c>
      <c r="E2801">
        <f>WEEKNUM(Append321[[#This Row],[Date]])</f>
        <v>24</v>
      </c>
    </row>
    <row r="2802" spans="1:5">
      <c r="A2802" t="s">
        <v>111</v>
      </c>
      <c r="B2802" t="s">
        <v>109</v>
      </c>
      <c r="C2802" s="5">
        <v>45457</v>
      </c>
      <c r="D2802">
        <v>25</v>
      </c>
      <c r="E2802">
        <f>WEEKNUM(Append321[[#This Row],[Date]])</f>
        <v>24</v>
      </c>
    </row>
    <row r="2803" spans="1:5">
      <c r="A2803" t="s">
        <v>111</v>
      </c>
      <c r="B2803" t="s">
        <v>109</v>
      </c>
      <c r="C2803" s="5">
        <v>45458</v>
      </c>
      <c r="D2803">
        <v>35</v>
      </c>
      <c r="E2803">
        <f>WEEKNUM(Append321[[#This Row],[Date]])</f>
        <v>24</v>
      </c>
    </row>
    <row r="2804" spans="1:5">
      <c r="A2804" t="s">
        <v>111</v>
      </c>
      <c r="B2804" t="s">
        <v>109</v>
      </c>
      <c r="C2804" s="5">
        <v>45459</v>
      </c>
      <c r="D2804">
        <v>23</v>
      </c>
      <c r="E2804">
        <f>WEEKNUM(Append321[[#This Row],[Date]])</f>
        <v>25</v>
      </c>
    </row>
    <row r="2805" spans="1:5">
      <c r="A2805" t="s">
        <v>111</v>
      </c>
      <c r="B2805" t="s">
        <v>109</v>
      </c>
      <c r="C2805" s="5">
        <v>45460</v>
      </c>
      <c r="D2805">
        <v>33</v>
      </c>
      <c r="E2805">
        <f>WEEKNUM(Append321[[#This Row],[Date]])</f>
        <v>25</v>
      </c>
    </row>
    <row r="2806" spans="1:5">
      <c r="A2806" t="s">
        <v>111</v>
      </c>
      <c r="B2806" t="s">
        <v>109</v>
      </c>
      <c r="C2806" s="5">
        <v>45461</v>
      </c>
      <c r="D2806">
        <v>28</v>
      </c>
      <c r="E2806">
        <f>WEEKNUM(Append321[[#This Row],[Date]])</f>
        <v>25</v>
      </c>
    </row>
    <row r="2807" spans="1:5">
      <c r="A2807" t="s">
        <v>111</v>
      </c>
      <c r="B2807" t="s">
        <v>109</v>
      </c>
      <c r="C2807" s="5">
        <v>45462</v>
      </c>
      <c r="D2807">
        <v>28</v>
      </c>
      <c r="E2807">
        <f>WEEKNUM(Append321[[#This Row],[Date]])</f>
        <v>25</v>
      </c>
    </row>
    <row r="2808" spans="1:5">
      <c r="A2808" t="s">
        <v>111</v>
      </c>
      <c r="B2808" t="s">
        <v>109</v>
      </c>
      <c r="C2808" s="5">
        <v>45463</v>
      </c>
      <c r="D2808">
        <v>21</v>
      </c>
      <c r="E2808">
        <f>WEEKNUM(Append321[[#This Row],[Date]])</f>
        <v>25</v>
      </c>
    </row>
    <row r="2809" spans="1:5">
      <c r="A2809" t="s">
        <v>111</v>
      </c>
      <c r="B2809" t="s">
        <v>109</v>
      </c>
      <c r="C2809" s="5">
        <v>45464</v>
      </c>
      <c r="D2809">
        <v>30</v>
      </c>
      <c r="E2809">
        <f>WEEKNUM(Append321[[#This Row],[Date]])</f>
        <v>25</v>
      </c>
    </row>
    <row r="2810" spans="1:5">
      <c r="A2810" t="s">
        <v>111</v>
      </c>
      <c r="B2810" t="s">
        <v>109</v>
      </c>
      <c r="C2810" s="5">
        <v>45465</v>
      </c>
      <c r="D2810">
        <v>35</v>
      </c>
      <c r="E2810">
        <f>WEEKNUM(Append321[[#This Row],[Date]])</f>
        <v>25</v>
      </c>
    </row>
    <row r="2811" spans="1:5">
      <c r="A2811" t="s">
        <v>111</v>
      </c>
      <c r="B2811" t="s">
        <v>109</v>
      </c>
      <c r="C2811" s="5">
        <v>45466</v>
      </c>
      <c r="D2811">
        <v>16</v>
      </c>
      <c r="E2811">
        <f>WEEKNUM(Append321[[#This Row],[Date]])</f>
        <v>26</v>
      </c>
    </row>
    <row r="2812" spans="1:5">
      <c r="A2812" t="s">
        <v>111</v>
      </c>
      <c r="B2812" t="s">
        <v>109</v>
      </c>
      <c r="C2812" s="5">
        <v>45467</v>
      </c>
      <c r="D2812">
        <v>23</v>
      </c>
      <c r="E2812">
        <f>WEEKNUM(Append321[[#This Row],[Date]])</f>
        <v>26</v>
      </c>
    </row>
    <row r="2813" spans="1:5">
      <c r="A2813" t="s">
        <v>111</v>
      </c>
      <c r="B2813" t="s">
        <v>109</v>
      </c>
      <c r="C2813" s="5">
        <v>45468</v>
      </c>
      <c r="D2813">
        <v>17</v>
      </c>
      <c r="E2813">
        <f>WEEKNUM(Append321[[#This Row],[Date]])</f>
        <v>26</v>
      </c>
    </row>
    <row r="2814" spans="1:5">
      <c r="A2814" t="s">
        <v>111</v>
      </c>
      <c r="B2814" t="s">
        <v>109</v>
      </c>
      <c r="C2814" s="5">
        <v>45469</v>
      </c>
      <c r="D2814">
        <v>17</v>
      </c>
      <c r="E2814">
        <f>WEEKNUM(Append321[[#This Row],[Date]])</f>
        <v>26</v>
      </c>
    </row>
    <row r="2815" spans="1:5">
      <c r="A2815" t="s">
        <v>111</v>
      </c>
      <c r="B2815" t="s">
        <v>109</v>
      </c>
      <c r="C2815" s="5">
        <v>45470</v>
      </c>
      <c r="D2815">
        <v>18</v>
      </c>
      <c r="E2815">
        <f>WEEKNUM(Append321[[#This Row],[Date]])</f>
        <v>26</v>
      </c>
    </row>
    <row r="2816" spans="1:5">
      <c r="A2816" t="s">
        <v>111</v>
      </c>
      <c r="B2816" t="s">
        <v>109</v>
      </c>
      <c r="C2816" s="5">
        <v>45471</v>
      </c>
      <c r="D2816">
        <v>21</v>
      </c>
      <c r="E2816">
        <f>WEEKNUM(Append321[[#This Row],[Date]])</f>
        <v>26</v>
      </c>
    </row>
    <row r="2817" spans="1:5">
      <c r="A2817" t="s">
        <v>111</v>
      </c>
      <c r="B2817" t="s">
        <v>109</v>
      </c>
      <c r="C2817" s="5">
        <v>45472</v>
      </c>
      <c r="D2817">
        <v>20</v>
      </c>
      <c r="E2817">
        <f>WEEKNUM(Append321[[#This Row],[Date]])</f>
        <v>26</v>
      </c>
    </row>
    <row r="2818" spans="1:5">
      <c r="A2818" t="s">
        <v>111</v>
      </c>
      <c r="B2818" t="s">
        <v>109</v>
      </c>
      <c r="C2818" s="5">
        <v>45473</v>
      </c>
      <c r="D2818">
        <v>29</v>
      </c>
      <c r="E2818">
        <f>WEEKNUM(Append321[[#This Row],[Date]])</f>
        <v>27</v>
      </c>
    </row>
    <row r="2819" spans="1:5">
      <c r="A2819" t="s">
        <v>111</v>
      </c>
      <c r="B2819" t="s">
        <v>109</v>
      </c>
      <c r="C2819" s="5">
        <v>45474</v>
      </c>
      <c r="D2819">
        <v>43</v>
      </c>
      <c r="E2819">
        <f>WEEKNUM(Append321[[#This Row],[Date]])</f>
        <v>27</v>
      </c>
    </row>
    <row r="2820" spans="1:5">
      <c r="A2820" t="s">
        <v>111</v>
      </c>
      <c r="B2820" t="s">
        <v>109</v>
      </c>
      <c r="C2820" s="5">
        <v>45475</v>
      </c>
      <c r="D2820">
        <v>41</v>
      </c>
      <c r="E2820">
        <f>WEEKNUM(Append321[[#This Row],[Date]])</f>
        <v>27</v>
      </c>
    </row>
    <row r="2821" spans="1:5">
      <c r="A2821" t="s">
        <v>111</v>
      </c>
      <c r="B2821" t="s">
        <v>109</v>
      </c>
      <c r="C2821" s="5">
        <v>45476</v>
      </c>
      <c r="D2821">
        <v>30</v>
      </c>
      <c r="E2821">
        <f>WEEKNUM(Append321[[#This Row],[Date]])</f>
        <v>27</v>
      </c>
    </row>
    <row r="2822" spans="1:5">
      <c r="A2822" t="s">
        <v>111</v>
      </c>
      <c r="B2822" t="s">
        <v>109</v>
      </c>
      <c r="C2822" s="5">
        <v>45477</v>
      </c>
      <c r="D2822">
        <v>36</v>
      </c>
      <c r="E2822">
        <f>WEEKNUM(Append321[[#This Row],[Date]])</f>
        <v>27</v>
      </c>
    </row>
    <row r="2823" spans="1:5">
      <c r="A2823" t="s">
        <v>111</v>
      </c>
      <c r="B2823" t="s">
        <v>109</v>
      </c>
      <c r="C2823" s="5">
        <v>45478</v>
      </c>
      <c r="D2823">
        <v>37</v>
      </c>
      <c r="E2823">
        <f>WEEKNUM(Append321[[#This Row],[Date]])</f>
        <v>27</v>
      </c>
    </row>
    <row r="2824" spans="1:5">
      <c r="A2824" t="s">
        <v>111</v>
      </c>
      <c r="B2824" t="s">
        <v>109</v>
      </c>
      <c r="C2824" s="5">
        <v>45479</v>
      </c>
      <c r="D2824">
        <v>52</v>
      </c>
      <c r="E2824">
        <f>WEEKNUM(Append321[[#This Row],[Date]])</f>
        <v>27</v>
      </c>
    </row>
    <row r="2825" spans="1:5">
      <c r="A2825" t="s">
        <v>111</v>
      </c>
      <c r="B2825" t="s">
        <v>109</v>
      </c>
      <c r="C2825" s="5">
        <v>45480</v>
      </c>
      <c r="D2825">
        <v>42</v>
      </c>
      <c r="E2825">
        <f>WEEKNUM(Append321[[#This Row],[Date]])</f>
        <v>28</v>
      </c>
    </row>
    <row r="2826" spans="1:5">
      <c r="A2826" t="s">
        <v>111</v>
      </c>
      <c r="B2826" t="s">
        <v>109</v>
      </c>
      <c r="C2826" s="5">
        <v>45481</v>
      </c>
      <c r="D2826">
        <v>37</v>
      </c>
      <c r="E2826">
        <f>WEEKNUM(Append321[[#This Row],[Date]])</f>
        <v>28</v>
      </c>
    </row>
    <row r="2827" spans="1:5">
      <c r="A2827" t="s">
        <v>111</v>
      </c>
      <c r="B2827" t="s">
        <v>109</v>
      </c>
      <c r="C2827" s="5">
        <v>45482</v>
      </c>
      <c r="D2827">
        <v>35</v>
      </c>
      <c r="E2827">
        <f>WEEKNUM(Append321[[#This Row],[Date]])</f>
        <v>28</v>
      </c>
    </row>
    <row r="2828" spans="1:5">
      <c r="A2828" t="s">
        <v>111</v>
      </c>
      <c r="B2828" t="s">
        <v>109</v>
      </c>
      <c r="C2828" s="5">
        <v>45483</v>
      </c>
      <c r="D2828">
        <v>25</v>
      </c>
      <c r="E2828">
        <f>WEEKNUM(Append321[[#This Row],[Date]])</f>
        <v>28</v>
      </c>
    </row>
    <row r="2829" spans="1:5">
      <c r="A2829" t="s">
        <v>111</v>
      </c>
      <c r="B2829" t="s">
        <v>109</v>
      </c>
      <c r="C2829" s="5">
        <v>45484</v>
      </c>
      <c r="D2829">
        <v>37</v>
      </c>
      <c r="E2829">
        <f>WEEKNUM(Append321[[#This Row],[Date]])</f>
        <v>28</v>
      </c>
    </row>
    <row r="2830" spans="1:5">
      <c r="A2830" t="s">
        <v>111</v>
      </c>
      <c r="B2830" t="s">
        <v>109</v>
      </c>
      <c r="C2830" s="5">
        <v>45485</v>
      </c>
      <c r="D2830">
        <v>35</v>
      </c>
      <c r="E2830">
        <f>WEEKNUM(Append321[[#This Row],[Date]])</f>
        <v>28</v>
      </c>
    </row>
    <row r="2831" spans="1:5">
      <c r="A2831" t="s">
        <v>111</v>
      </c>
      <c r="B2831" t="s">
        <v>109</v>
      </c>
      <c r="C2831" s="5">
        <v>45486</v>
      </c>
      <c r="D2831">
        <v>35</v>
      </c>
      <c r="E2831">
        <f>WEEKNUM(Append321[[#This Row],[Date]])</f>
        <v>28</v>
      </c>
    </row>
    <row r="2832" spans="1:5">
      <c r="A2832" t="s">
        <v>111</v>
      </c>
      <c r="B2832" t="s">
        <v>109</v>
      </c>
      <c r="C2832" s="5">
        <v>45487</v>
      </c>
      <c r="D2832">
        <v>24</v>
      </c>
      <c r="E2832">
        <f>WEEKNUM(Append321[[#This Row],[Date]])</f>
        <v>29</v>
      </c>
    </row>
    <row r="2833" spans="1:5">
      <c r="A2833" t="s">
        <v>111</v>
      </c>
      <c r="B2833" t="s">
        <v>109</v>
      </c>
      <c r="C2833" s="5">
        <v>45488</v>
      </c>
      <c r="D2833">
        <v>25</v>
      </c>
      <c r="E2833">
        <f>WEEKNUM(Append321[[#This Row],[Date]])</f>
        <v>29</v>
      </c>
    </row>
    <row r="2834" spans="1:5">
      <c r="A2834" t="s">
        <v>111</v>
      </c>
      <c r="B2834" t="s">
        <v>109</v>
      </c>
      <c r="C2834" s="5">
        <v>45489</v>
      </c>
      <c r="D2834">
        <v>22</v>
      </c>
      <c r="E2834">
        <f>WEEKNUM(Append321[[#This Row],[Date]])</f>
        <v>29</v>
      </c>
    </row>
    <row r="2835" spans="1:5">
      <c r="A2835" t="s">
        <v>111</v>
      </c>
      <c r="B2835" t="s">
        <v>109</v>
      </c>
      <c r="C2835" s="5">
        <v>45490</v>
      </c>
      <c r="D2835">
        <v>33</v>
      </c>
      <c r="E2835">
        <f>WEEKNUM(Append321[[#This Row],[Date]])</f>
        <v>29</v>
      </c>
    </row>
    <row r="2836" spans="1:5">
      <c r="A2836" t="s">
        <v>111</v>
      </c>
      <c r="B2836" t="s">
        <v>109</v>
      </c>
      <c r="C2836" s="5">
        <v>45491</v>
      </c>
      <c r="D2836">
        <v>35</v>
      </c>
      <c r="E2836">
        <f>WEEKNUM(Append321[[#This Row],[Date]])</f>
        <v>29</v>
      </c>
    </row>
    <row r="2837" spans="1:5">
      <c r="A2837" t="s">
        <v>111</v>
      </c>
      <c r="B2837" t="s">
        <v>109</v>
      </c>
      <c r="C2837" s="5">
        <v>45492</v>
      </c>
      <c r="D2837">
        <v>40</v>
      </c>
      <c r="E2837">
        <f>WEEKNUM(Append321[[#This Row],[Date]])</f>
        <v>29</v>
      </c>
    </row>
    <row r="2838" spans="1:5">
      <c r="A2838" t="s">
        <v>111</v>
      </c>
      <c r="B2838" t="s">
        <v>109</v>
      </c>
      <c r="C2838" s="5">
        <v>45493</v>
      </c>
      <c r="D2838">
        <v>41</v>
      </c>
      <c r="E2838">
        <f>WEEKNUM(Append321[[#This Row],[Date]])</f>
        <v>29</v>
      </c>
    </row>
    <row r="2839" spans="1:5">
      <c r="A2839" t="s">
        <v>111</v>
      </c>
      <c r="B2839" t="s">
        <v>109</v>
      </c>
      <c r="C2839" s="5">
        <v>45494</v>
      </c>
      <c r="D2839">
        <v>22</v>
      </c>
      <c r="E2839">
        <f>WEEKNUM(Append321[[#This Row],[Date]])</f>
        <v>30</v>
      </c>
    </row>
    <row r="2840" spans="1:5">
      <c r="A2840" t="s">
        <v>111</v>
      </c>
      <c r="B2840" t="s">
        <v>109</v>
      </c>
      <c r="C2840" s="5">
        <v>45495</v>
      </c>
      <c r="D2840">
        <v>35</v>
      </c>
      <c r="E2840">
        <f>WEEKNUM(Append321[[#This Row],[Date]])</f>
        <v>30</v>
      </c>
    </row>
    <row r="2841" spans="1:5">
      <c r="A2841" t="s">
        <v>111</v>
      </c>
      <c r="B2841" t="s">
        <v>109</v>
      </c>
      <c r="C2841" s="5">
        <v>45496</v>
      </c>
      <c r="D2841">
        <v>46</v>
      </c>
      <c r="E2841">
        <f>WEEKNUM(Append321[[#This Row],[Date]])</f>
        <v>30</v>
      </c>
    </row>
    <row r="2842" spans="1:5">
      <c r="A2842" t="s">
        <v>111</v>
      </c>
      <c r="B2842" t="s">
        <v>109</v>
      </c>
      <c r="C2842" s="5">
        <v>45497</v>
      </c>
      <c r="D2842">
        <v>53</v>
      </c>
      <c r="E2842">
        <f>WEEKNUM(Append321[[#This Row],[Date]])</f>
        <v>30</v>
      </c>
    </row>
    <row r="2843" spans="1:5">
      <c r="A2843" t="s">
        <v>111</v>
      </c>
      <c r="B2843" t="s">
        <v>109</v>
      </c>
      <c r="C2843" s="5">
        <v>45498</v>
      </c>
      <c r="D2843">
        <v>35</v>
      </c>
      <c r="E2843">
        <f>WEEKNUM(Append321[[#This Row],[Date]])</f>
        <v>30</v>
      </c>
    </row>
    <row r="2844" spans="1:5">
      <c r="A2844" t="s">
        <v>111</v>
      </c>
      <c r="B2844" t="s">
        <v>109</v>
      </c>
      <c r="C2844" s="5">
        <v>45499</v>
      </c>
      <c r="D2844">
        <v>43</v>
      </c>
      <c r="E2844">
        <f>WEEKNUM(Append321[[#This Row],[Date]])</f>
        <v>30</v>
      </c>
    </row>
    <row r="2845" spans="1:5">
      <c r="A2845" t="s">
        <v>111</v>
      </c>
      <c r="B2845" t="s">
        <v>109</v>
      </c>
      <c r="C2845" s="5">
        <v>45500</v>
      </c>
      <c r="D2845">
        <v>38</v>
      </c>
      <c r="E2845">
        <f>WEEKNUM(Append321[[#This Row],[Date]])</f>
        <v>30</v>
      </c>
    </row>
    <row r="2846" spans="1:5">
      <c r="A2846" t="s">
        <v>111</v>
      </c>
      <c r="B2846" t="s">
        <v>109</v>
      </c>
      <c r="C2846" s="5">
        <v>45501</v>
      </c>
      <c r="D2846">
        <v>41</v>
      </c>
      <c r="E2846">
        <f>WEEKNUM(Append321[[#This Row],[Date]])</f>
        <v>31</v>
      </c>
    </row>
    <row r="2847" spans="1:5">
      <c r="A2847" t="s">
        <v>111</v>
      </c>
      <c r="B2847" t="s">
        <v>109</v>
      </c>
      <c r="C2847" s="5">
        <v>45502</v>
      </c>
      <c r="D2847">
        <v>35</v>
      </c>
      <c r="E2847">
        <f>WEEKNUM(Append321[[#This Row],[Date]])</f>
        <v>31</v>
      </c>
    </row>
    <row r="2848" spans="1:5">
      <c r="A2848" t="s">
        <v>111</v>
      </c>
      <c r="B2848" t="s">
        <v>109</v>
      </c>
      <c r="C2848" s="5">
        <v>45503</v>
      </c>
      <c r="D2848">
        <v>30</v>
      </c>
      <c r="E2848">
        <f>WEEKNUM(Append321[[#This Row],[Date]])</f>
        <v>31</v>
      </c>
    </row>
    <row r="2849" spans="1:5">
      <c r="A2849" t="s">
        <v>111</v>
      </c>
      <c r="B2849" t="s">
        <v>109</v>
      </c>
      <c r="C2849" s="5">
        <v>45504</v>
      </c>
      <c r="D2849">
        <v>50</v>
      </c>
      <c r="E2849">
        <f>WEEKNUM(Append321[[#This Row],[Date]])</f>
        <v>31</v>
      </c>
    </row>
    <row r="2850" spans="1:5">
      <c r="A2850" t="s">
        <v>111</v>
      </c>
      <c r="B2850" t="s">
        <v>109</v>
      </c>
      <c r="C2850" s="5">
        <v>45505</v>
      </c>
      <c r="D2850">
        <v>26</v>
      </c>
      <c r="E2850">
        <f>WEEKNUM(Append321[[#This Row],[Date]])</f>
        <v>31</v>
      </c>
    </row>
    <row r="2851" spans="1:5">
      <c r="A2851" t="s">
        <v>111</v>
      </c>
      <c r="B2851" t="s">
        <v>109</v>
      </c>
      <c r="C2851" s="5">
        <v>45506</v>
      </c>
      <c r="D2851">
        <v>24</v>
      </c>
      <c r="E2851">
        <f>WEEKNUM(Append321[[#This Row],[Date]])</f>
        <v>31</v>
      </c>
    </row>
    <row r="2852" spans="1:5">
      <c r="A2852" t="s">
        <v>111</v>
      </c>
      <c r="B2852" t="s">
        <v>109</v>
      </c>
      <c r="C2852" s="5">
        <v>45507</v>
      </c>
      <c r="D2852">
        <v>30</v>
      </c>
      <c r="E2852">
        <f>WEEKNUM(Append321[[#This Row],[Date]])</f>
        <v>31</v>
      </c>
    </row>
    <row r="2853" spans="1:5">
      <c r="A2853" t="s">
        <v>111</v>
      </c>
      <c r="B2853" t="s">
        <v>109</v>
      </c>
      <c r="C2853" s="5">
        <v>45508</v>
      </c>
      <c r="D2853">
        <v>20</v>
      </c>
      <c r="E2853">
        <f>WEEKNUM(Append321[[#This Row],[Date]])</f>
        <v>32</v>
      </c>
    </row>
    <row r="2854" spans="1:5">
      <c r="A2854" t="s">
        <v>111</v>
      </c>
      <c r="B2854" t="s">
        <v>109</v>
      </c>
      <c r="C2854" s="5">
        <v>45509</v>
      </c>
      <c r="D2854">
        <v>19</v>
      </c>
      <c r="E2854">
        <f>WEEKNUM(Append321[[#This Row],[Date]])</f>
        <v>32</v>
      </c>
    </row>
    <row r="2855" spans="1:5">
      <c r="A2855" t="s">
        <v>111</v>
      </c>
      <c r="B2855" t="s">
        <v>109</v>
      </c>
      <c r="C2855" s="5">
        <v>45510</v>
      </c>
      <c r="D2855">
        <v>26</v>
      </c>
      <c r="E2855">
        <f>WEEKNUM(Append321[[#This Row],[Date]])</f>
        <v>32</v>
      </c>
    </row>
    <row r="2856" spans="1:5">
      <c r="A2856" t="s">
        <v>111</v>
      </c>
      <c r="B2856" t="s">
        <v>109</v>
      </c>
      <c r="C2856" s="5">
        <v>45511</v>
      </c>
      <c r="D2856">
        <v>18</v>
      </c>
      <c r="E2856">
        <f>WEEKNUM(Append321[[#This Row],[Date]])</f>
        <v>32</v>
      </c>
    </row>
    <row r="2857" spans="1:5">
      <c r="A2857" t="s">
        <v>111</v>
      </c>
      <c r="B2857" t="s">
        <v>109</v>
      </c>
      <c r="C2857" s="5">
        <v>45512</v>
      </c>
      <c r="D2857">
        <v>28</v>
      </c>
      <c r="E2857">
        <f>WEEKNUM(Append321[[#This Row],[Date]])</f>
        <v>32</v>
      </c>
    </row>
    <row r="2858" spans="1:5">
      <c r="A2858" t="s">
        <v>111</v>
      </c>
      <c r="B2858" t="s">
        <v>109</v>
      </c>
      <c r="C2858" s="5">
        <v>45513</v>
      </c>
      <c r="D2858">
        <v>26</v>
      </c>
      <c r="E2858">
        <f>WEEKNUM(Append321[[#This Row],[Date]])</f>
        <v>32</v>
      </c>
    </row>
    <row r="2859" spans="1:5">
      <c r="A2859" t="s">
        <v>111</v>
      </c>
      <c r="B2859" t="s">
        <v>109</v>
      </c>
      <c r="C2859" s="5">
        <v>45514</v>
      </c>
      <c r="D2859">
        <v>14</v>
      </c>
      <c r="E2859">
        <f>WEEKNUM(Append321[[#This Row],[Date]])</f>
        <v>32</v>
      </c>
    </row>
    <row r="2860" spans="1:5">
      <c r="A2860" t="s">
        <v>111</v>
      </c>
      <c r="B2860" t="s">
        <v>109</v>
      </c>
      <c r="C2860" s="5">
        <v>45515</v>
      </c>
      <c r="D2860">
        <v>17</v>
      </c>
      <c r="E2860">
        <f>WEEKNUM(Append321[[#This Row],[Date]])</f>
        <v>33</v>
      </c>
    </row>
    <row r="2861" spans="1:5">
      <c r="A2861" t="s">
        <v>111</v>
      </c>
      <c r="B2861" t="s">
        <v>109</v>
      </c>
      <c r="C2861" s="5">
        <v>45516</v>
      </c>
      <c r="D2861">
        <v>13</v>
      </c>
      <c r="E2861">
        <f>WEEKNUM(Append321[[#This Row],[Date]])</f>
        <v>33</v>
      </c>
    </row>
    <row r="2862" spans="1:5">
      <c r="A2862" t="s">
        <v>111</v>
      </c>
      <c r="B2862" t="s">
        <v>109</v>
      </c>
      <c r="C2862" s="5">
        <v>45517</v>
      </c>
      <c r="D2862">
        <v>23</v>
      </c>
      <c r="E2862">
        <f>WEEKNUM(Append321[[#This Row],[Date]])</f>
        <v>33</v>
      </c>
    </row>
    <row r="2863" spans="1:5">
      <c r="A2863" t="s">
        <v>111</v>
      </c>
      <c r="B2863" t="s">
        <v>109</v>
      </c>
      <c r="C2863" s="5">
        <v>45518</v>
      </c>
      <c r="D2863">
        <v>10</v>
      </c>
      <c r="E2863">
        <f>WEEKNUM(Append321[[#This Row],[Date]])</f>
        <v>33</v>
      </c>
    </row>
    <row r="2864" spans="1:5">
      <c r="A2864" t="s">
        <v>111</v>
      </c>
      <c r="B2864" t="s">
        <v>109</v>
      </c>
      <c r="C2864" s="5">
        <v>45519</v>
      </c>
      <c r="D2864">
        <v>28</v>
      </c>
      <c r="E2864">
        <f>WEEKNUM(Append321[[#This Row],[Date]])</f>
        <v>33</v>
      </c>
    </row>
    <row r="2865" spans="1:5">
      <c r="A2865" t="s">
        <v>111</v>
      </c>
      <c r="B2865" t="s">
        <v>109</v>
      </c>
      <c r="C2865" s="5">
        <v>45520</v>
      </c>
      <c r="D2865">
        <v>13</v>
      </c>
      <c r="E2865">
        <f>WEEKNUM(Append321[[#This Row],[Date]])</f>
        <v>33</v>
      </c>
    </row>
    <row r="2866" spans="1:5">
      <c r="A2866" t="s">
        <v>111</v>
      </c>
      <c r="B2866" t="s">
        <v>109</v>
      </c>
      <c r="C2866" s="5">
        <v>45521</v>
      </c>
      <c r="D2866">
        <v>21</v>
      </c>
      <c r="E2866">
        <f>WEEKNUM(Append321[[#This Row],[Date]])</f>
        <v>33</v>
      </c>
    </row>
    <row r="2867" spans="1:5">
      <c r="A2867" t="s">
        <v>111</v>
      </c>
      <c r="B2867" t="s">
        <v>109</v>
      </c>
      <c r="C2867" s="5">
        <v>45522</v>
      </c>
      <c r="D2867">
        <v>23</v>
      </c>
      <c r="E2867">
        <f>WEEKNUM(Append321[[#This Row],[Date]])</f>
        <v>34</v>
      </c>
    </row>
    <row r="2868" spans="1:5">
      <c r="A2868" t="s">
        <v>111</v>
      </c>
      <c r="B2868" t="s">
        <v>109</v>
      </c>
      <c r="C2868" s="5">
        <v>45523</v>
      </c>
      <c r="D2868">
        <v>31</v>
      </c>
      <c r="E2868">
        <f>WEEKNUM(Append321[[#This Row],[Date]])</f>
        <v>34</v>
      </c>
    </row>
    <row r="2869" spans="1:5">
      <c r="A2869" t="s">
        <v>111</v>
      </c>
      <c r="B2869" t="s">
        <v>109</v>
      </c>
      <c r="C2869" s="5">
        <v>45524</v>
      </c>
      <c r="D2869">
        <v>21</v>
      </c>
      <c r="E2869">
        <f>WEEKNUM(Append321[[#This Row],[Date]])</f>
        <v>34</v>
      </c>
    </row>
    <row r="2870" spans="1:5">
      <c r="A2870" t="s">
        <v>111</v>
      </c>
      <c r="B2870" t="s">
        <v>109</v>
      </c>
      <c r="C2870" s="5">
        <v>45525</v>
      </c>
      <c r="D2870">
        <v>23</v>
      </c>
      <c r="E2870">
        <f>WEEKNUM(Append321[[#This Row],[Date]])</f>
        <v>34</v>
      </c>
    </row>
    <row r="2871" spans="1:5">
      <c r="A2871" t="s">
        <v>111</v>
      </c>
      <c r="B2871" t="s">
        <v>109</v>
      </c>
      <c r="C2871" s="5">
        <v>45526</v>
      </c>
      <c r="D2871">
        <v>19</v>
      </c>
      <c r="E2871">
        <f>WEEKNUM(Append321[[#This Row],[Date]])</f>
        <v>34</v>
      </c>
    </row>
    <row r="2872" spans="1:5">
      <c r="A2872" t="s">
        <v>111</v>
      </c>
      <c r="B2872" t="s">
        <v>109</v>
      </c>
      <c r="C2872" s="5">
        <v>45527</v>
      </c>
      <c r="D2872">
        <v>28</v>
      </c>
      <c r="E2872">
        <f>WEEKNUM(Append321[[#This Row],[Date]])</f>
        <v>34</v>
      </c>
    </row>
    <row r="2873" spans="1:5">
      <c r="A2873" t="s">
        <v>111</v>
      </c>
      <c r="B2873" t="s">
        <v>109</v>
      </c>
      <c r="C2873" s="5">
        <v>45528</v>
      </c>
      <c r="D2873">
        <v>26</v>
      </c>
      <c r="E2873">
        <f>WEEKNUM(Append321[[#This Row],[Date]])</f>
        <v>34</v>
      </c>
    </row>
    <row r="2874" spans="1:5">
      <c r="A2874" t="s">
        <v>111</v>
      </c>
      <c r="B2874" t="s">
        <v>109</v>
      </c>
      <c r="C2874" s="5">
        <v>45529</v>
      </c>
      <c r="D2874">
        <v>22</v>
      </c>
      <c r="E2874">
        <f>WEEKNUM(Append321[[#This Row],[Date]])</f>
        <v>35</v>
      </c>
    </row>
    <row r="2875" spans="1:5">
      <c r="A2875" t="s">
        <v>111</v>
      </c>
      <c r="B2875" t="s">
        <v>109</v>
      </c>
      <c r="C2875" s="5">
        <v>45530</v>
      </c>
      <c r="D2875">
        <v>19</v>
      </c>
      <c r="E2875">
        <f>WEEKNUM(Append321[[#This Row],[Date]])</f>
        <v>35</v>
      </c>
    </row>
    <row r="2876" spans="1:5">
      <c r="A2876" t="s">
        <v>111</v>
      </c>
      <c r="B2876" t="s">
        <v>109</v>
      </c>
      <c r="C2876" s="5">
        <v>45531</v>
      </c>
      <c r="D2876">
        <v>30</v>
      </c>
      <c r="E2876">
        <f>WEEKNUM(Append321[[#This Row],[Date]])</f>
        <v>35</v>
      </c>
    </row>
    <row r="2877" spans="1:5">
      <c r="A2877" t="s">
        <v>111</v>
      </c>
      <c r="B2877" t="s">
        <v>109</v>
      </c>
      <c r="C2877" s="5">
        <v>45532</v>
      </c>
      <c r="D2877">
        <v>25</v>
      </c>
      <c r="E2877">
        <f>WEEKNUM(Append321[[#This Row],[Date]])</f>
        <v>35</v>
      </c>
    </row>
    <row r="2878" spans="1:5">
      <c r="A2878" t="s">
        <v>111</v>
      </c>
      <c r="B2878" t="s">
        <v>109</v>
      </c>
      <c r="C2878" s="5">
        <v>45533</v>
      </c>
      <c r="D2878">
        <v>28</v>
      </c>
      <c r="E2878">
        <f>WEEKNUM(Append321[[#This Row],[Date]])</f>
        <v>35</v>
      </c>
    </row>
    <row r="2879" spans="1:5">
      <c r="A2879" t="s">
        <v>111</v>
      </c>
      <c r="B2879" t="s">
        <v>109</v>
      </c>
      <c r="C2879" s="5">
        <v>45534</v>
      </c>
      <c r="D2879">
        <v>30</v>
      </c>
      <c r="E2879">
        <f>WEEKNUM(Append321[[#This Row],[Date]])</f>
        <v>35</v>
      </c>
    </row>
    <row r="2880" spans="1:5">
      <c r="A2880" t="s">
        <v>111</v>
      </c>
      <c r="B2880" t="s">
        <v>109</v>
      </c>
      <c r="C2880" s="5">
        <v>45535</v>
      </c>
      <c r="D2880">
        <v>28</v>
      </c>
      <c r="E2880">
        <f>WEEKNUM(Append321[[#This Row],[Date]])</f>
        <v>35</v>
      </c>
    </row>
    <row r="2881" spans="1:5">
      <c r="A2881" t="s">
        <v>112</v>
      </c>
      <c r="B2881" t="s">
        <v>94</v>
      </c>
      <c r="C2881" s="5">
        <v>45486</v>
      </c>
      <c r="D2881">
        <v>174</v>
      </c>
      <c r="E2881">
        <f>WEEKNUM(Append321[[#This Row],[Date]])</f>
        <v>28</v>
      </c>
    </row>
    <row r="2882" spans="1:5">
      <c r="A2882" t="s">
        <v>112</v>
      </c>
      <c r="B2882" t="s">
        <v>94</v>
      </c>
      <c r="C2882" s="5">
        <v>45487</v>
      </c>
      <c r="D2882">
        <v>208</v>
      </c>
      <c r="E2882">
        <f>WEEKNUM(Append321[[#This Row],[Date]])</f>
        <v>29</v>
      </c>
    </row>
    <row r="2883" spans="1:5">
      <c r="A2883" t="s">
        <v>112</v>
      </c>
      <c r="B2883" t="s">
        <v>94</v>
      </c>
      <c r="C2883" s="5">
        <v>45488</v>
      </c>
      <c r="D2883">
        <v>202</v>
      </c>
      <c r="E2883">
        <f>WEEKNUM(Append321[[#This Row],[Date]])</f>
        <v>29</v>
      </c>
    </row>
    <row r="2884" spans="1:5">
      <c r="A2884" t="s">
        <v>112</v>
      </c>
      <c r="B2884" t="s">
        <v>94</v>
      </c>
      <c r="C2884" s="5">
        <v>45489</v>
      </c>
      <c r="D2884">
        <v>201</v>
      </c>
      <c r="E2884">
        <f>WEEKNUM(Append321[[#This Row],[Date]])</f>
        <v>29</v>
      </c>
    </row>
    <row r="2885" spans="1:5">
      <c r="A2885" t="s">
        <v>112</v>
      </c>
      <c r="B2885" t="s">
        <v>94</v>
      </c>
      <c r="C2885" s="5">
        <v>45490</v>
      </c>
      <c r="D2885">
        <v>198</v>
      </c>
      <c r="E2885">
        <f>WEEKNUM(Append321[[#This Row],[Date]])</f>
        <v>29</v>
      </c>
    </row>
    <row r="2886" spans="1:5">
      <c r="A2886" t="s">
        <v>112</v>
      </c>
      <c r="B2886" t="s">
        <v>94</v>
      </c>
      <c r="C2886" s="5">
        <v>45491</v>
      </c>
      <c r="D2886">
        <v>211</v>
      </c>
      <c r="E2886">
        <f>WEEKNUM(Append321[[#This Row],[Date]])</f>
        <v>29</v>
      </c>
    </row>
    <row r="2887" spans="1:5">
      <c r="A2887" t="s">
        <v>112</v>
      </c>
      <c r="B2887" t="s">
        <v>94</v>
      </c>
      <c r="C2887" s="5">
        <v>45492</v>
      </c>
      <c r="D2887">
        <v>188</v>
      </c>
      <c r="E2887">
        <f>WEEKNUM(Append321[[#This Row],[Date]])</f>
        <v>29</v>
      </c>
    </row>
    <row r="2888" spans="1:5">
      <c r="A2888" t="s">
        <v>112</v>
      </c>
      <c r="B2888" t="s">
        <v>94</v>
      </c>
      <c r="C2888" s="5">
        <v>45493</v>
      </c>
      <c r="D2888">
        <v>239</v>
      </c>
      <c r="E2888">
        <f>WEEKNUM(Append321[[#This Row],[Date]])</f>
        <v>29</v>
      </c>
    </row>
    <row r="2889" spans="1:5">
      <c r="A2889" t="s">
        <v>112</v>
      </c>
      <c r="B2889" t="s">
        <v>94</v>
      </c>
      <c r="C2889" s="5">
        <v>45494</v>
      </c>
      <c r="D2889">
        <v>169</v>
      </c>
      <c r="E2889">
        <f>WEEKNUM(Append321[[#This Row],[Date]])</f>
        <v>30</v>
      </c>
    </row>
    <row r="2890" spans="1:5">
      <c r="A2890" t="s">
        <v>112</v>
      </c>
      <c r="B2890" t="s">
        <v>94</v>
      </c>
      <c r="C2890" s="5">
        <v>45495</v>
      </c>
      <c r="D2890">
        <v>213</v>
      </c>
      <c r="E2890">
        <f>WEEKNUM(Append321[[#This Row],[Date]])</f>
        <v>30</v>
      </c>
    </row>
    <row r="2891" spans="1:5">
      <c r="A2891" t="s">
        <v>112</v>
      </c>
      <c r="B2891" t="s">
        <v>94</v>
      </c>
      <c r="C2891" s="5">
        <v>45496</v>
      </c>
      <c r="D2891">
        <v>200</v>
      </c>
      <c r="E2891">
        <f>WEEKNUM(Append321[[#This Row],[Date]])</f>
        <v>30</v>
      </c>
    </row>
    <row r="2892" spans="1:5">
      <c r="A2892" t="s">
        <v>112</v>
      </c>
      <c r="B2892" t="s">
        <v>94</v>
      </c>
      <c r="C2892" s="5">
        <v>45497</v>
      </c>
      <c r="D2892">
        <v>188</v>
      </c>
      <c r="E2892">
        <f>WEEKNUM(Append321[[#This Row],[Date]])</f>
        <v>30</v>
      </c>
    </row>
    <row r="2893" spans="1:5">
      <c r="A2893" t="s">
        <v>112</v>
      </c>
      <c r="B2893" t="s">
        <v>94</v>
      </c>
      <c r="C2893" s="5">
        <v>45498</v>
      </c>
      <c r="D2893">
        <v>196</v>
      </c>
      <c r="E2893">
        <f>WEEKNUM(Append321[[#This Row],[Date]])</f>
        <v>30</v>
      </c>
    </row>
    <row r="2894" spans="1:5">
      <c r="A2894" t="s">
        <v>112</v>
      </c>
      <c r="B2894" t="s">
        <v>94</v>
      </c>
      <c r="C2894" s="5">
        <v>45499</v>
      </c>
      <c r="D2894">
        <v>220</v>
      </c>
      <c r="E2894">
        <f>WEEKNUM(Append321[[#This Row],[Date]])</f>
        <v>30</v>
      </c>
    </row>
    <row r="2895" spans="1:5">
      <c r="A2895" t="s">
        <v>112</v>
      </c>
      <c r="B2895" t="s">
        <v>94</v>
      </c>
      <c r="C2895" s="5">
        <v>45500</v>
      </c>
      <c r="D2895">
        <v>222</v>
      </c>
      <c r="E2895">
        <f>WEEKNUM(Append321[[#This Row],[Date]])</f>
        <v>30</v>
      </c>
    </row>
    <row r="2896" spans="1:5">
      <c r="A2896" t="s">
        <v>112</v>
      </c>
      <c r="B2896" t="s">
        <v>94</v>
      </c>
      <c r="C2896" s="5">
        <v>45501</v>
      </c>
      <c r="D2896">
        <v>169</v>
      </c>
      <c r="E2896">
        <f>WEEKNUM(Append321[[#This Row],[Date]])</f>
        <v>31</v>
      </c>
    </row>
    <row r="2897" spans="1:5">
      <c r="A2897" t="s">
        <v>112</v>
      </c>
      <c r="B2897" t="s">
        <v>94</v>
      </c>
      <c r="C2897" s="5">
        <v>45502</v>
      </c>
      <c r="D2897">
        <v>177</v>
      </c>
      <c r="E2897">
        <f>WEEKNUM(Append321[[#This Row],[Date]])</f>
        <v>31</v>
      </c>
    </row>
    <row r="2898" spans="1:5">
      <c r="A2898" t="s">
        <v>112</v>
      </c>
      <c r="B2898" t="s">
        <v>94</v>
      </c>
      <c r="C2898" s="5">
        <v>45503</v>
      </c>
      <c r="D2898">
        <v>186</v>
      </c>
      <c r="E2898">
        <f>WEEKNUM(Append321[[#This Row],[Date]])</f>
        <v>31</v>
      </c>
    </row>
    <row r="2899" spans="1:5">
      <c r="A2899" t="s">
        <v>112</v>
      </c>
      <c r="B2899" t="s">
        <v>94</v>
      </c>
      <c r="C2899" s="5">
        <v>45504</v>
      </c>
      <c r="D2899">
        <v>213</v>
      </c>
      <c r="E2899">
        <f>WEEKNUM(Append321[[#This Row],[Date]])</f>
        <v>31</v>
      </c>
    </row>
    <row r="2900" spans="1:5">
      <c r="A2900" t="s">
        <v>112</v>
      </c>
      <c r="B2900" t="s">
        <v>94</v>
      </c>
      <c r="C2900" s="5">
        <v>45505</v>
      </c>
      <c r="D2900">
        <v>208</v>
      </c>
      <c r="E2900">
        <f>WEEKNUM(Append321[[#This Row],[Date]])</f>
        <v>31</v>
      </c>
    </row>
    <row r="2901" spans="1:5">
      <c r="A2901" t="s">
        <v>112</v>
      </c>
      <c r="B2901" t="s">
        <v>94</v>
      </c>
      <c r="C2901" s="5">
        <v>45506</v>
      </c>
      <c r="D2901">
        <v>216</v>
      </c>
      <c r="E2901">
        <f>WEEKNUM(Append321[[#This Row],[Date]])</f>
        <v>31</v>
      </c>
    </row>
    <row r="2902" spans="1:5">
      <c r="A2902" t="s">
        <v>112</v>
      </c>
      <c r="B2902" t="s">
        <v>94</v>
      </c>
      <c r="C2902" s="5">
        <v>45507</v>
      </c>
      <c r="D2902">
        <v>225</v>
      </c>
      <c r="E2902">
        <f>WEEKNUM(Append321[[#This Row],[Date]])</f>
        <v>31</v>
      </c>
    </row>
    <row r="2903" spans="1:5">
      <c r="A2903" t="s">
        <v>112</v>
      </c>
      <c r="B2903" t="s">
        <v>94</v>
      </c>
      <c r="C2903" s="5">
        <v>45527</v>
      </c>
      <c r="D2903">
        <v>1</v>
      </c>
      <c r="E2903">
        <f>WEEKNUM(Append321[[#This Row],[Date]])</f>
        <v>34</v>
      </c>
    </row>
    <row r="2904" spans="1:5">
      <c r="A2904" t="s">
        <v>112</v>
      </c>
      <c r="B2904" t="s">
        <v>94</v>
      </c>
      <c r="C2904" s="5">
        <v>45529</v>
      </c>
      <c r="D2904">
        <v>1</v>
      </c>
      <c r="E2904">
        <f>WEEKNUM(Append321[[#This Row],[Date]])</f>
        <v>35</v>
      </c>
    </row>
    <row r="2905" spans="1:5">
      <c r="A2905" t="s">
        <v>112</v>
      </c>
      <c r="B2905" t="s">
        <v>94</v>
      </c>
      <c r="C2905" s="5">
        <v>45530</v>
      </c>
      <c r="D2905">
        <v>2</v>
      </c>
      <c r="E2905">
        <f>WEEKNUM(Append321[[#This Row],[Date]])</f>
        <v>35</v>
      </c>
    </row>
    <row r="2906" spans="1:5">
      <c r="A2906" t="s">
        <v>112</v>
      </c>
      <c r="B2906" t="s">
        <v>94</v>
      </c>
      <c r="C2906" s="5">
        <v>45531</v>
      </c>
      <c r="D2906">
        <v>6</v>
      </c>
      <c r="E2906">
        <f>WEEKNUM(Append321[[#This Row],[Date]])</f>
        <v>35</v>
      </c>
    </row>
    <row r="2907" spans="1:5">
      <c r="A2907" t="s">
        <v>112</v>
      </c>
      <c r="B2907" t="s">
        <v>94</v>
      </c>
      <c r="C2907" s="5">
        <v>45532</v>
      </c>
      <c r="D2907">
        <v>6</v>
      </c>
      <c r="E2907">
        <f>WEEKNUM(Append321[[#This Row],[Date]])</f>
        <v>35</v>
      </c>
    </row>
    <row r="2908" spans="1:5">
      <c r="A2908" t="s">
        <v>112</v>
      </c>
      <c r="B2908" t="s">
        <v>94</v>
      </c>
      <c r="C2908" s="5">
        <v>45533</v>
      </c>
      <c r="D2908">
        <v>3</v>
      </c>
      <c r="E2908">
        <f>WEEKNUM(Append321[[#This Row],[Date]])</f>
        <v>35</v>
      </c>
    </row>
    <row r="2909" spans="1:5">
      <c r="A2909" t="s">
        <v>112</v>
      </c>
      <c r="B2909" t="s">
        <v>94</v>
      </c>
      <c r="C2909" s="5">
        <v>45534</v>
      </c>
      <c r="D2909">
        <v>15</v>
      </c>
      <c r="E2909">
        <f>WEEKNUM(Append321[[#This Row],[Date]])</f>
        <v>35</v>
      </c>
    </row>
    <row r="2910" spans="1:5">
      <c r="A2910" t="s">
        <v>112</v>
      </c>
      <c r="B2910" t="s">
        <v>94</v>
      </c>
      <c r="C2910" s="5">
        <v>45535</v>
      </c>
      <c r="D2910">
        <v>6</v>
      </c>
      <c r="E2910">
        <f>WEEKNUM(Append321[[#This Row],[Date]])</f>
        <v>35</v>
      </c>
    </row>
    <row r="2911" spans="1:5">
      <c r="A2911" t="s">
        <v>112</v>
      </c>
      <c r="B2911" t="s">
        <v>95</v>
      </c>
      <c r="C2911" s="5">
        <v>45486</v>
      </c>
      <c r="D2911">
        <v>239</v>
      </c>
      <c r="E2911">
        <f>WEEKNUM(Append321[[#This Row],[Date]])</f>
        <v>28</v>
      </c>
    </row>
    <row r="2912" spans="1:5">
      <c r="A2912" t="s">
        <v>112</v>
      </c>
      <c r="B2912" t="s">
        <v>95</v>
      </c>
      <c r="C2912" s="5">
        <v>45487</v>
      </c>
      <c r="D2912">
        <v>285</v>
      </c>
      <c r="E2912">
        <f>WEEKNUM(Append321[[#This Row],[Date]])</f>
        <v>29</v>
      </c>
    </row>
    <row r="2913" spans="1:5">
      <c r="A2913" t="s">
        <v>112</v>
      </c>
      <c r="B2913" t="s">
        <v>95</v>
      </c>
      <c r="C2913" s="5">
        <v>45488</v>
      </c>
      <c r="D2913">
        <v>267</v>
      </c>
      <c r="E2913">
        <f>WEEKNUM(Append321[[#This Row],[Date]])</f>
        <v>29</v>
      </c>
    </row>
    <row r="2914" spans="1:5">
      <c r="A2914" t="s">
        <v>112</v>
      </c>
      <c r="B2914" t="s">
        <v>95</v>
      </c>
      <c r="C2914" s="5">
        <v>45489</v>
      </c>
      <c r="D2914">
        <v>281</v>
      </c>
      <c r="E2914">
        <f>WEEKNUM(Append321[[#This Row],[Date]])</f>
        <v>29</v>
      </c>
    </row>
    <row r="2915" spans="1:5">
      <c r="A2915" t="s">
        <v>112</v>
      </c>
      <c r="B2915" t="s">
        <v>95</v>
      </c>
      <c r="C2915" s="5">
        <v>45490</v>
      </c>
      <c r="D2915">
        <v>269</v>
      </c>
      <c r="E2915">
        <f>WEEKNUM(Append321[[#This Row],[Date]])</f>
        <v>29</v>
      </c>
    </row>
    <row r="2916" spans="1:5">
      <c r="A2916" t="s">
        <v>112</v>
      </c>
      <c r="B2916" t="s">
        <v>95</v>
      </c>
      <c r="C2916" s="5">
        <v>45491</v>
      </c>
      <c r="D2916">
        <v>303</v>
      </c>
      <c r="E2916">
        <f>WEEKNUM(Append321[[#This Row],[Date]])</f>
        <v>29</v>
      </c>
    </row>
    <row r="2917" spans="1:5">
      <c r="A2917" t="s">
        <v>112</v>
      </c>
      <c r="B2917" t="s">
        <v>95</v>
      </c>
      <c r="C2917" s="5">
        <v>45492</v>
      </c>
      <c r="D2917">
        <v>303</v>
      </c>
      <c r="E2917">
        <f>WEEKNUM(Append321[[#This Row],[Date]])</f>
        <v>29</v>
      </c>
    </row>
    <row r="2918" spans="1:5">
      <c r="A2918" t="s">
        <v>112</v>
      </c>
      <c r="B2918" t="s">
        <v>95</v>
      </c>
      <c r="C2918" s="5">
        <v>45493</v>
      </c>
      <c r="D2918">
        <v>315</v>
      </c>
      <c r="E2918">
        <f>WEEKNUM(Append321[[#This Row],[Date]])</f>
        <v>29</v>
      </c>
    </row>
    <row r="2919" spans="1:5">
      <c r="A2919" t="s">
        <v>112</v>
      </c>
      <c r="B2919" t="s">
        <v>95</v>
      </c>
      <c r="C2919" s="5">
        <v>45494</v>
      </c>
      <c r="D2919">
        <v>269</v>
      </c>
      <c r="E2919">
        <f>WEEKNUM(Append321[[#This Row],[Date]])</f>
        <v>30</v>
      </c>
    </row>
    <row r="2920" spans="1:5">
      <c r="A2920" t="s">
        <v>112</v>
      </c>
      <c r="B2920" t="s">
        <v>95</v>
      </c>
      <c r="C2920" s="5">
        <v>45495</v>
      </c>
      <c r="D2920">
        <v>231</v>
      </c>
      <c r="E2920">
        <f>WEEKNUM(Append321[[#This Row],[Date]])</f>
        <v>30</v>
      </c>
    </row>
    <row r="2921" spans="1:5">
      <c r="A2921" t="s">
        <v>112</v>
      </c>
      <c r="B2921" t="s">
        <v>95</v>
      </c>
      <c r="C2921" s="5">
        <v>45496</v>
      </c>
      <c r="D2921">
        <v>285</v>
      </c>
      <c r="E2921">
        <f>WEEKNUM(Append321[[#This Row],[Date]])</f>
        <v>30</v>
      </c>
    </row>
    <row r="2922" spans="1:5">
      <c r="A2922" t="s">
        <v>112</v>
      </c>
      <c r="B2922" t="s">
        <v>95</v>
      </c>
      <c r="C2922" s="5">
        <v>45497</v>
      </c>
      <c r="D2922">
        <v>285</v>
      </c>
      <c r="E2922">
        <f>WEEKNUM(Append321[[#This Row],[Date]])</f>
        <v>30</v>
      </c>
    </row>
    <row r="2923" spans="1:5">
      <c r="A2923" t="s">
        <v>112</v>
      </c>
      <c r="B2923" t="s">
        <v>95</v>
      </c>
      <c r="C2923" s="5">
        <v>45498</v>
      </c>
      <c r="D2923">
        <v>312</v>
      </c>
      <c r="E2923">
        <f>WEEKNUM(Append321[[#This Row],[Date]])</f>
        <v>30</v>
      </c>
    </row>
    <row r="2924" spans="1:5">
      <c r="A2924" t="s">
        <v>112</v>
      </c>
      <c r="B2924" t="s">
        <v>95</v>
      </c>
      <c r="C2924" s="5">
        <v>45499</v>
      </c>
      <c r="D2924">
        <v>308</v>
      </c>
      <c r="E2924">
        <f>WEEKNUM(Append321[[#This Row],[Date]])</f>
        <v>30</v>
      </c>
    </row>
    <row r="2925" spans="1:5">
      <c r="A2925" t="s">
        <v>112</v>
      </c>
      <c r="B2925" t="s">
        <v>95</v>
      </c>
      <c r="C2925" s="5">
        <v>45500</v>
      </c>
      <c r="D2925">
        <v>313</v>
      </c>
      <c r="E2925">
        <f>WEEKNUM(Append321[[#This Row],[Date]])</f>
        <v>30</v>
      </c>
    </row>
    <row r="2926" spans="1:5">
      <c r="A2926" t="s">
        <v>112</v>
      </c>
      <c r="B2926" t="s">
        <v>95</v>
      </c>
      <c r="C2926" s="5">
        <v>45501</v>
      </c>
      <c r="D2926">
        <v>265</v>
      </c>
      <c r="E2926">
        <f>WEEKNUM(Append321[[#This Row],[Date]])</f>
        <v>31</v>
      </c>
    </row>
    <row r="2927" spans="1:5">
      <c r="A2927" t="s">
        <v>112</v>
      </c>
      <c r="B2927" t="s">
        <v>95</v>
      </c>
      <c r="C2927" s="5">
        <v>45502</v>
      </c>
      <c r="D2927">
        <v>299</v>
      </c>
      <c r="E2927">
        <f>WEEKNUM(Append321[[#This Row],[Date]])</f>
        <v>31</v>
      </c>
    </row>
    <row r="2928" spans="1:5">
      <c r="A2928" t="s">
        <v>112</v>
      </c>
      <c r="B2928" t="s">
        <v>95</v>
      </c>
      <c r="C2928" s="5">
        <v>45503</v>
      </c>
      <c r="D2928">
        <v>284</v>
      </c>
      <c r="E2928">
        <f>WEEKNUM(Append321[[#This Row],[Date]])</f>
        <v>31</v>
      </c>
    </row>
    <row r="2929" spans="1:5">
      <c r="A2929" t="s">
        <v>112</v>
      </c>
      <c r="B2929" t="s">
        <v>95</v>
      </c>
      <c r="C2929" s="5">
        <v>45504</v>
      </c>
      <c r="D2929">
        <v>282</v>
      </c>
      <c r="E2929">
        <f>WEEKNUM(Append321[[#This Row],[Date]])</f>
        <v>31</v>
      </c>
    </row>
    <row r="2930" spans="1:5">
      <c r="A2930" t="s">
        <v>112</v>
      </c>
      <c r="B2930" t="s">
        <v>95</v>
      </c>
      <c r="C2930" s="5">
        <v>45505</v>
      </c>
      <c r="D2930">
        <v>298</v>
      </c>
      <c r="E2930">
        <f>WEEKNUM(Append321[[#This Row],[Date]])</f>
        <v>31</v>
      </c>
    </row>
    <row r="2931" spans="1:5">
      <c r="A2931" t="s">
        <v>112</v>
      </c>
      <c r="B2931" t="s">
        <v>95</v>
      </c>
      <c r="C2931" s="5">
        <v>45506</v>
      </c>
      <c r="D2931">
        <v>316</v>
      </c>
      <c r="E2931">
        <f>WEEKNUM(Append321[[#This Row],[Date]])</f>
        <v>31</v>
      </c>
    </row>
    <row r="2932" spans="1:5">
      <c r="A2932" t="s">
        <v>112</v>
      </c>
      <c r="B2932" t="s">
        <v>95</v>
      </c>
      <c r="C2932" s="5">
        <v>45507</v>
      </c>
      <c r="D2932">
        <v>329</v>
      </c>
      <c r="E2932">
        <f>WEEKNUM(Append321[[#This Row],[Date]])</f>
        <v>31</v>
      </c>
    </row>
    <row r="2933" spans="1:5">
      <c r="A2933" t="s">
        <v>112</v>
      </c>
      <c r="B2933" t="s">
        <v>95</v>
      </c>
      <c r="C2933" s="5">
        <v>45527</v>
      </c>
      <c r="D2933">
        <v>79</v>
      </c>
      <c r="E2933">
        <f>WEEKNUM(Append321[[#This Row],[Date]])</f>
        <v>34</v>
      </c>
    </row>
    <row r="2934" spans="1:5">
      <c r="A2934" t="s">
        <v>112</v>
      </c>
      <c r="B2934" t="s">
        <v>95</v>
      </c>
      <c r="C2934" s="5">
        <v>45528</v>
      </c>
      <c r="D2934">
        <v>93</v>
      </c>
      <c r="E2934">
        <f>WEEKNUM(Append321[[#This Row],[Date]])</f>
        <v>34</v>
      </c>
    </row>
    <row r="2935" spans="1:5">
      <c r="A2935" t="s">
        <v>112</v>
      </c>
      <c r="B2935" t="s">
        <v>95</v>
      </c>
      <c r="C2935" s="5">
        <v>45529</v>
      </c>
      <c r="D2935">
        <v>89</v>
      </c>
      <c r="E2935">
        <f>WEEKNUM(Append321[[#This Row],[Date]])</f>
        <v>35</v>
      </c>
    </row>
    <row r="2936" spans="1:5">
      <c r="A2936" t="s">
        <v>112</v>
      </c>
      <c r="B2936" t="s">
        <v>95</v>
      </c>
      <c r="C2936" s="5">
        <v>45530</v>
      </c>
      <c r="D2936">
        <v>103</v>
      </c>
      <c r="E2936">
        <f>WEEKNUM(Append321[[#This Row],[Date]])</f>
        <v>35</v>
      </c>
    </row>
    <row r="2937" spans="1:5">
      <c r="A2937" t="s">
        <v>112</v>
      </c>
      <c r="B2937" t="s">
        <v>95</v>
      </c>
      <c r="C2937" s="5">
        <v>45531</v>
      </c>
      <c r="D2937">
        <v>82</v>
      </c>
      <c r="E2937">
        <f>WEEKNUM(Append321[[#This Row],[Date]])</f>
        <v>35</v>
      </c>
    </row>
    <row r="2938" spans="1:5">
      <c r="A2938" t="s">
        <v>112</v>
      </c>
      <c r="B2938" t="s">
        <v>95</v>
      </c>
      <c r="C2938" s="5">
        <v>45532</v>
      </c>
      <c r="D2938">
        <v>114</v>
      </c>
      <c r="E2938">
        <f>WEEKNUM(Append321[[#This Row],[Date]])</f>
        <v>35</v>
      </c>
    </row>
    <row r="2939" spans="1:5">
      <c r="A2939" t="s">
        <v>112</v>
      </c>
      <c r="B2939" t="s">
        <v>95</v>
      </c>
      <c r="C2939" s="5">
        <v>45533</v>
      </c>
      <c r="D2939">
        <v>97</v>
      </c>
      <c r="E2939">
        <f>WEEKNUM(Append321[[#This Row],[Date]])</f>
        <v>35</v>
      </c>
    </row>
    <row r="2940" spans="1:5">
      <c r="A2940" t="s">
        <v>112</v>
      </c>
      <c r="B2940" t="s">
        <v>95</v>
      </c>
      <c r="C2940" s="5">
        <v>45534</v>
      </c>
      <c r="D2940">
        <v>98</v>
      </c>
      <c r="E2940">
        <f>WEEKNUM(Append321[[#This Row],[Date]])</f>
        <v>35</v>
      </c>
    </row>
    <row r="2941" spans="1:5">
      <c r="A2941" t="s">
        <v>112</v>
      </c>
      <c r="B2941" t="s">
        <v>95</v>
      </c>
      <c r="C2941" s="5">
        <v>45535</v>
      </c>
      <c r="D2941">
        <v>109</v>
      </c>
      <c r="E2941">
        <f>WEEKNUM(Append321[[#This Row],[Date]])</f>
        <v>35</v>
      </c>
    </row>
    <row r="2942" spans="1:5">
      <c r="A2942" t="s">
        <v>112</v>
      </c>
      <c r="B2942" t="s">
        <v>96</v>
      </c>
      <c r="C2942" s="5">
        <v>45486</v>
      </c>
      <c r="D2942">
        <v>471</v>
      </c>
      <c r="E2942">
        <f>WEEKNUM(Append321[[#This Row],[Date]])</f>
        <v>28</v>
      </c>
    </row>
    <row r="2943" spans="1:5">
      <c r="A2943" t="s">
        <v>112</v>
      </c>
      <c r="B2943" t="s">
        <v>96</v>
      </c>
      <c r="C2943" s="5">
        <v>45487</v>
      </c>
      <c r="D2943">
        <v>541</v>
      </c>
      <c r="E2943">
        <f>WEEKNUM(Append321[[#This Row],[Date]])</f>
        <v>29</v>
      </c>
    </row>
    <row r="2944" spans="1:5">
      <c r="A2944" t="s">
        <v>112</v>
      </c>
      <c r="B2944" t="s">
        <v>96</v>
      </c>
      <c r="C2944" s="5">
        <v>45488</v>
      </c>
      <c r="D2944">
        <v>475</v>
      </c>
      <c r="E2944">
        <f>WEEKNUM(Append321[[#This Row],[Date]])</f>
        <v>29</v>
      </c>
    </row>
    <row r="2945" spans="1:5">
      <c r="A2945" t="s">
        <v>112</v>
      </c>
      <c r="B2945" t="s">
        <v>96</v>
      </c>
      <c r="C2945" s="5">
        <v>45489</v>
      </c>
      <c r="D2945">
        <v>536</v>
      </c>
      <c r="E2945">
        <f>WEEKNUM(Append321[[#This Row],[Date]])</f>
        <v>29</v>
      </c>
    </row>
    <row r="2946" spans="1:5">
      <c r="A2946" t="s">
        <v>112</v>
      </c>
      <c r="B2946" t="s">
        <v>96</v>
      </c>
      <c r="C2946" s="5">
        <v>45490</v>
      </c>
      <c r="D2946">
        <v>467</v>
      </c>
      <c r="E2946">
        <f>WEEKNUM(Append321[[#This Row],[Date]])</f>
        <v>29</v>
      </c>
    </row>
    <row r="2947" spans="1:5">
      <c r="A2947" t="s">
        <v>112</v>
      </c>
      <c r="B2947" t="s">
        <v>96</v>
      </c>
      <c r="C2947" s="5">
        <v>45491</v>
      </c>
      <c r="D2947">
        <v>521</v>
      </c>
      <c r="E2947">
        <f>WEEKNUM(Append321[[#This Row],[Date]])</f>
        <v>29</v>
      </c>
    </row>
    <row r="2948" spans="1:5">
      <c r="A2948" t="s">
        <v>112</v>
      </c>
      <c r="B2948" t="s">
        <v>96</v>
      </c>
      <c r="C2948" s="5">
        <v>45492</v>
      </c>
      <c r="D2948">
        <v>493</v>
      </c>
      <c r="E2948">
        <f>WEEKNUM(Append321[[#This Row],[Date]])</f>
        <v>29</v>
      </c>
    </row>
    <row r="2949" spans="1:5">
      <c r="A2949" t="s">
        <v>112</v>
      </c>
      <c r="B2949" t="s">
        <v>96</v>
      </c>
      <c r="C2949" s="5">
        <v>45493</v>
      </c>
      <c r="D2949">
        <v>568</v>
      </c>
      <c r="E2949">
        <f>WEEKNUM(Append321[[#This Row],[Date]])</f>
        <v>29</v>
      </c>
    </row>
    <row r="2950" spans="1:5">
      <c r="A2950" t="s">
        <v>112</v>
      </c>
      <c r="B2950" t="s">
        <v>96</v>
      </c>
      <c r="C2950" s="5">
        <v>45494</v>
      </c>
      <c r="D2950">
        <v>501</v>
      </c>
      <c r="E2950">
        <f>WEEKNUM(Append321[[#This Row],[Date]])</f>
        <v>30</v>
      </c>
    </row>
    <row r="2951" spans="1:5">
      <c r="A2951" t="s">
        <v>112</v>
      </c>
      <c r="B2951" t="s">
        <v>96</v>
      </c>
      <c r="C2951" s="5">
        <v>45495</v>
      </c>
      <c r="D2951">
        <v>572</v>
      </c>
      <c r="E2951">
        <f>WEEKNUM(Append321[[#This Row],[Date]])</f>
        <v>30</v>
      </c>
    </row>
    <row r="2952" spans="1:5">
      <c r="A2952" t="s">
        <v>112</v>
      </c>
      <c r="B2952" t="s">
        <v>96</v>
      </c>
      <c r="C2952" s="5">
        <v>45496</v>
      </c>
      <c r="D2952">
        <v>540</v>
      </c>
      <c r="E2952">
        <f>WEEKNUM(Append321[[#This Row],[Date]])</f>
        <v>30</v>
      </c>
    </row>
    <row r="2953" spans="1:5">
      <c r="A2953" t="s">
        <v>112</v>
      </c>
      <c r="B2953" t="s">
        <v>96</v>
      </c>
      <c r="C2953" s="5">
        <v>45497</v>
      </c>
      <c r="D2953">
        <v>478</v>
      </c>
      <c r="E2953">
        <f>WEEKNUM(Append321[[#This Row],[Date]])</f>
        <v>30</v>
      </c>
    </row>
    <row r="2954" spans="1:5">
      <c r="A2954" t="s">
        <v>112</v>
      </c>
      <c r="B2954" t="s">
        <v>96</v>
      </c>
      <c r="C2954" s="5">
        <v>45498</v>
      </c>
      <c r="D2954">
        <v>589</v>
      </c>
      <c r="E2954">
        <f>WEEKNUM(Append321[[#This Row],[Date]])</f>
        <v>30</v>
      </c>
    </row>
    <row r="2955" spans="1:5">
      <c r="A2955" t="s">
        <v>112</v>
      </c>
      <c r="B2955" t="s">
        <v>96</v>
      </c>
      <c r="C2955" s="5">
        <v>45499</v>
      </c>
      <c r="D2955">
        <v>485</v>
      </c>
      <c r="E2955">
        <f>WEEKNUM(Append321[[#This Row],[Date]])</f>
        <v>30</v>
      </c>
    </row>
    <row r="2956" spans="1:5">
      <c r="A2956" t="s">
        <v>112</v>
      </c>
      <c r="B2956" t="s">
        <v>96</v>
      </c>
      <c r="C2956" s="5">
        <v>45500</v>
      </c>
      <c r="D2956">
        <v>552</v>
      </c>
      <c r="E2956">
        <f>WEEKNUM(Append321[[#This Row],[Date]])</f>
        <v>30</v>
      </c>
    </row>
    <row r="2957" spans="1:5">
      <c r="A2957" t="s">
        <v>112</v>
      </c>
      <c r="B2957" t="s">
        <v>96</v>
      </c>
      <c r="C2957" s="5">
        <v>45501</v>
      </c>
      <c r="D2957">
        <v>469</v>
      </c>
      <c r="E2957">
        <f>WEEKNUM(Append321[[#This Row],[Date]])</f>
        <v>31</v>
      </c>
    </row>
    <row r="2958" spans="1:5">
      <c r="A2958" t="s">
        <v>112</v>
      </c>
      <c r="B2958" t="s">
        <v>96</v>
      </c>
      <c r="C2958" s="5">
        <v>45502</v>
      </c>
      <c r="D2958">
        <v>531</v>
      </c>
      <c r="E2958">
        <f>WEEKNUM(Append321[[#This Row],[Date]])</f>
        <v>31</v>
      </c>
    </row>
    <row r="2959" spans="1:5">
      <c r="A2959" t="s">
        <v>112</v>
      </c>
      <c r="B2959" t="s">
        <v>96</v>
      </c>
      <c r="C2959" s="5">
        <v>45503</v>
      </c>
      <c r="D2959">
        <v>468</v>
      </c>
      <c r="E2959">
        <f>WEEKNUM(Append321[[#This Row],[Date]])</f>
        <v>31</v>
      </c>
    </row>
    <row r="2960" spans="1:5">
      <c r="A2960" t="s">
        <v>112</v>
      </c>
      <c r="B2960" t="s">
        <v>96</v>
      </c>
      <c r="C2960" s="5">
        <v>45504</v>
      </c>
      <c r="D2960">
        <v>531</v>
      </c>
      <c r="E2960">
        <f>WEEKNUM(Append321[[#This Row],[Date]])</f>
        <v>31</v>
      </c>
    </row>
    <row r="2961" spans="1:5">
      <c r="A2961" t="s">
        <v>112</v>
      </c>
      <c r="B2961" t="s">
        <v>96</v>
      </c>
      <c r="C2961" s="5">
        <v>45505</v>
      </c>
      <c r="D2961">
        <v>543</v>
      </c>
      <c r="E2961">
        <f>WEEKNUM(Append321[[#This Row],[Date]])</f>
        <v>31</v>
      </c>
    </row>
    <row r="2962" spans="1:5">
      <c r="A2962" t="s">
        <v>112</v>
      </c>
      <c r="B2962" t="s">
        <v>96</v>
      </c>
      <c r="C2962" s="5">
        <v>45506</v>
      </c>
      <c r="D2962">
        <v>538</v>
      </c>
      <c r="E2962">
        <f>WEEKNUM(Append321[[#This Row],[Date]])</f>
        <v>31</v>
      </c>
    </row>
    <row r="2963" spans="1:5">
      <c r="A2963" t="s">
        <v>112</v>
      </c>
      <c r="B2963" t="s">
        <v>96</v>
      </c>
      <c r="C2963" s="5">
        <v>45507</v>
      </c>
      <c r="D2963">
        <v>578</v>
      </c>
      <c r="E2963">
        <f>WEEKNUM(Append321[[#This Row],[Date]])</f>
        <v>31</v>
      </c>
    </row>
    <row r="2964" spans="1:5">
      <c r="A2964" t="s">
        <v>112</v>
      </c>
      <c r="B2964" t="s">
        <v>96</v>
      </c>
      <c r="C2964" s="5">
        <v>45527</v>
      </c>
      <c r="D2964">
        <v>133</v>
      </c>
      <c r="E2964">
        <f>WEEKNUM(Append321[[#This Row],[Date]])</f>
        <v>34</v>
      </c>
    </row>
    <row r="2965" spans="1:5">
      <c r="A2965" t="s">
        <v>112</v>
      </c>
      <c r="B2965" t="s">
        <v>96</v>
      </c>
      <c r="C2965" s="5">
        <v>45528</v>
      </c>
      <c r="D2965">
        <v>149</v>
      </c>
      <c r="E2965">
        <f>WEEKNUM(Append321[[#This Row],[Date]])</f>
        <v>34</v>
      </c>
    </row>
    <row r="2966" spans="1:5">
      <c r="A2966" t="s">
        <v>112</v>
      </c>
      <c r="B2966" t="s">
        <v>96</v>
      </c>
      <c r="C2966" s="5">
        <v>45529</v>
      </c>
      <c r="D2966">
        <v>141</v>
      </c>
      <c r="E2966">
        <f>WEEKNUM(Append321[[#This Row],[Date]])</f>
        <v>35</v>
      </c>
    </row>
    <row r="2967" spans="1:5">
      <c r="A2967" t="s">
        <v>112</v>
      </c>
      <c r="B2967" t="s">
        <v>96</v>
      </c>
      <c r="C2967" s="5">
        <v>45530</v>
      </c>
      <c r="D2967">
        <v>134</v>
      </c>
      <c r="E2967">
        <f>WEEKNUM(Append321[[#This Row],[Date]])</f>
        <v>35</v>
      </c>
    </row>
    <row r="2968" spans="1:5">
      <c r="A2968" t="s">
        <v>112</v>
      </c>
      <c r="B2968" t="s">
        <v>96</v>
      </c>
      <c r="C2968" s="5">
        <v>45531</v>
      </c>
      <c r="D2968">
        <v>165</v>
      </c>
      <c r="E2968">
        <f>WEEKNUM(Append321[[#This Row],[Date]])</f>
        <v>35</v>
      </c>
    </row>
    <row r="2969" spans="1:5">
      <c r="A2969" t="s">
        <v>112</v>
      </c>
      <c r="B2969" t="s">
        <v>96</v>
      </c>
      <c r="C2969" s="5">
        <v>45532</v>
      </c>
      <c r="D2969">
        <v>175</v>
      </c>
      <c r="E2969">
        <f>WEEKNUM(Append321[[#This Row],[Date]])</f>
        <v>35</v>
      </c>
    </row>
    <row r="2970" spans="1:5">
      <c r="A2970" t="s">
        <v>112</v>
      </c>
      <c r="B2970" t="s">
        <v>96</v>
      </c>
      <c r="C2970" s="5">
        <v>45533</v>
      </c>
      <c r="D2970">
        <v>151</v>
      </c>
      <c r="E2970">
        <f>WEEKNUM(Append321[[#This Row],[Date]])</f>
        <v>35</v>
      </c>
    </row>
    <row r="2971" spans="1:5">
      <c r="A2971" t="s">
        <v>112</v>
      </c>
      <c r="B2971" t="s">
        <v>96</v>
      </c>
      <c r="C2971" s="5">
        <v>45534</v>
      </c>
      <c r="D2971">
        <v>132</v>
      </c>
      <c r="E2971">
        <f>WEEKNUM(Append321[[#This Row],[Date]])</f>
        <v>35</v>
      </c>
    </row>
    <row r="2972" spans="1:5">
      <c r="A2972" t="s">
        <v>112</v>
      </c>
      <c r="B2972" t="s">
        <v>96</v>
      </c>
      <c r="C2972" s="5">
        <v>45535</v>
      </c>
      <c r="D2972">
        <v>133</v>
      </c>
      <c r="E2972">
        <f>WEEKNUM(Append321[[#This Row],[Date]])</f>
        <v>35</v>
      </c>
    </row>
    <row r="2973" spans="1:5">
      <c r="A2973" t="s">
        <v>112</v>
      </c>
      <c r="B2973" t="s">
        <v>99</v>
      </c>
      <c r="C2973" s="5">
        <v>45486</v>
      </c>
      <c r="D2973">
        <v>245</v>
      </c>
      <c r="E2973">
        <f>WEEKNUM(Append321[[#This Row],[Date]])</f>
        <v>28</v>
      </c>
    </row>
    <row r="2974" spans="1:5">
      <c r="A2974" t="s">
        <v>112</v>
      </c>
      <c r="B2974" t="s">
        <v>99</v>
      </c>
      <c r="C2974" s="5">
        <v>45487</v>
      </c>
      <c r="D2974">
        <v>238</v>
      </c>
      <c r="E2974">
        <f>WEEKNUM(Append321[[#This Row],[Date]])</f>
        <v>29</v>
      </c>
    </row>
    <row r="2975" spans="1:5">
      <c r="A2975" t="s">
        <v>112</v>
      </c>
      <c r="B2975" t="s">
        <v>99</v>
      </c>
      <c r="C2975" s="5">
        <v>45488</v>
      </c>
      <c r="D2975">
        <v>269</v>
      </c>
      <c r="E2975">
        <f>WEEKNUM(Append321[[#This Row],[Date]])</f>
        <v>29</v>
      </c>
    </row>
    <row r="2976" spans="1:5">
      <c r="A2976" t="s">
        <v>112</v>
      </c>
      <c r="B2976" t="s">
        <v>99</v>
      </c>
      <c r="C2976" s="5">
        <v>45489</v>
      </c>
      <c r="D2976">
        <v>271</v>
      </c>
      <c r="E2976">
        <f>WEEKNUM(Append321[[#This Row],[Date]])</f>
        <v>29</v>
      </c>
    </row>
    <row r="2977" spans="1:5">
      <c r="A2977" t="s">
        <v>112</v>
      </c>
      <c r="B2977" t="s">
        <v>99</v>
      </c>
      <c r="C2977" s="5">
        <v>45490</v>
      </c>
      <c r="D2977">
        <v>170</v>
      </c>
      <c r="E2977">
        <f>WEEKNUM(Append321[[#This Row],[Date]])</f>
        <v>29</v>
      </c>
    </row>
    <row r="2978" spans="1:5">
      <c r="A2978" t="s">
        <v>112</v>
      </c>
      <c r="B2978" t="s">
        <v>99</v>
      </c>
      <c r="C2978" s="5">
        <v>45491</v>
      </c>
      <c r="D2978">
        <v>205</v>
      </c>
      <c r="E2978">
        <f>WEEKNUM(Append321[[#This Row],[Date]])</f>
        <v>29</v>
      </c>
    </row>
    <row r="2979" spans="1:5">
      <c r="A2979" t="s">
        <v>112</v>
      </c>
      <c r="B2979" t="s">
        <v>99</v>
      </c>
      <c r="C2979" s="5">
        <v>45492</v>
      </c>
      <c r="D2979">
        <v>200</v>
      </c>
      <c r="E2979">
        <f>WEEKNUM(Append321[[#This Row],[Date]])</f>
        <v>29</v>
      </c>
    </row>
    <row r="2980" spans="1:5">
      <c r="A2980" t="s">
        <v>112</v>
      </c>
      <c r="B2980" t="s">
        <v>99</v>
      </c>
      <c r="C2980" s="5">
        <v>45493</v>
      </c>
      <c r="D2980">
        <v>239</v>
      </c>
      <c r="E2980">
        <f>WEEKNUM(Append321[[#This Row],[Date]])</f>
        <v>29</v>
      </c>
    </row>
    <row r="2981" spans="1:5">
      <c r="A2981" t="s">
        <v>112</v>
      </c>
      <c r="B2981" t="s">
        <v>99</v>
      </c>
      <c r="C2981" s="5">
        <v>45494</v>
      </c>
      <c r="D2981">
        <v>205</v>
      </c>
      <c r="E2981">
        <f>WEEKNUM(Append321[[#This Row],[Date]])</f>
        <v>30</v>
      </c>
    </row>
    <row r="2982" spans="1:5">
      <c r="A2982" t="s">
        <v>112</v>
      </c>
      <c r="B2982" t="s">
        <v>99</v>
      </c>
      <c r="C2982" s="5">
        <v>45495</v>
      </c>
      <c r="D2982">
        <v>289</v>
      </c>
      <c r="E2982">
        <f>WEEKNUM(Append321[[#This Row],[Date]])</f>
        <v>30</v>
      </c>
    </row>
    <row r="2983" spans="1:5">
      <c r="A2983" t="s">
        <v>112</v>
      </c>
      <c r="B2983" t="s">
        <v>99</v>
      </c>
      <c r="C2983" s="5">
        <v>45496</v>
      </c>
      <c r="D2983">
        <v>289</v>
      </c>
      <c r="E2983">
        <f>WEEKNUM(Append321[[#This Row],[Date]])</f>
        <v>30</v>
      </c>
    </row>
    <row r="2984" spans="1:5">
      <c r="A2984" t="s">
        <v>112</v>
      </c>
      <c r="B2984" t="s">
        <v>99</v>
      </c>
      <c r="C2984" s="5">
        <v>45497</v>
      </c>
      <c r="D2984">
        <v>205</v>
      </c>
      <c r="E2984">
        <f>WEEKNUM(Append321[[#This Row],[Date]])</f>
        <v>30</v>
      </c>
    </row>
    <row r="2985" spans="1:5">
      <c r="A2985" t="s">
        <v>112</v>
      </c>
      <c r="B2985" t="s">
        <v>99</v>
      </c>
      <c r="C2985" s="5">
        <v>45498</v>
      </c>
      <c r="D2985">
        <v>213</v>
      </c>
      <c r="E2985">
        <f>WEEKNUM(Append321[[#This Row],[Date]])</f>
        <v>30</v>
      </c>
    </row>
    <row r="2986" spans="1:5">
      <c r="A2986" t="s">
        <v>112</v>
      </c>
      <c r="B2986" t="s">
        <v>99</v>
      </c>
      <c r="C2986" s="5">
        <v>45499</v>
      </c>
      <c r="D2986">
        <v>190</v>
      </c>
      <c r="E2986">
        <f>WEEKNUM(Append321[[#This Row],[Date]])</f>
        <v>30</v>
      </c>
    </row>
    <row r="2987" spans="1:5">
      <c r="A2987" t="s">
        <v>112</v>
      </c>
      <c r="B2987" t="s">
        <v>99</v>
      </c>
      <c r="C2987" s="5">
        <v>45500</v>
      </c>
      <c r="D2987">
        <v>236</v>
      </c>
      <c r="E2987">
        <f>WEEKNUM(Append321[[#This Row],[Date]])</f>
        <v>30</v>
      </c>
    </row>
    <row r="2988" spans="1:5">
      <c r="A2988" t="s">
        <v>112</v>
      </c>
      <c r="B2988" t="s">
        <v>99</v>
      </c>
      <c r="C2988" s="5">
        <v>45501</v>
      </c>
      <c r="D2988">
        <v>225</v>
      </c>
      <c r="E2988">
        <f>WEEKNUM(Append321[[#This Row],[Date]])</f>
        <v>31</v>
      </c>
    </row>
    <row r="2989" spans="1:5">
      <c r="A2989" t="s">
        <v>112</v>
      </c>
      <c r="B2989" t="s">
        <v>99</v>
      </c>
      <c r="C2989" s="5">
        <v>45502</v>
      </c>
      <c r="D2989">
        <v>259</v>
      </c>
      <c r="E2989">
        <f>WEEKNUM(Append321[[#This Row],[Date]])</f>
        <v>31</v>
      </c>
    </row>
    <row r="2990" spans="1:5">
      <c r="A2990" t="s">
        <v>112</v>
      </c>
      <c r="B2990" t="s">
        <v>99</v>
      </c>
      <c r="C2990" s="5">
        <v>45503</v>
      </c>
      <c r="D2990">
        <v>277</v>
      </c>
      <c r="E2990">
        <f>WEEKNUM(Append321[[#This Row],[Date]])</f>
        <v>31</v>
      </c>
    </row>
    <row r="2991" spans="1:5">
      <c r="A2991" t="s">
        <v>112</v>
      </c>
      <c r="B2991" t="s">
        <v>99</v>
      </c>
      <c r="C2991" s="5">
        <v>45504</v>
      </c>
      <c r="D2991">
        <v>202</v>
      </c>
      <c r="E2991">
        <f>WEEKNUM(Append321[[#This Row],[Date]])</f>
        <v>31</v>
      </c>
    </row>
    <row r="2992" spans="1:5">
      <c r="A2992" t="s">
        <v>112</v>
      </c>
      <c r="B2992" t="s">
        <v>99</v>
      </c>
      <c r="C2992" s="5">
        <v>45505</v>
      </c>
      <c r="D2992">
        <v>185</v>
      </c>
      <c r="E2992">
        <f>WEEKNUM(Append321[[#This Row],[Date]])</f>
        <v>31</v>
      </c>
    </row>
    <row r="2993" spans="1:5">
      <c r="A2993" t="s">
        <v>112</v>
      </c>
      <c r="B2993" t="s">
        <v>99</v>
      </c>
      <c r="C2993" s="5">
        <v>45506</v>
      </c>
      <c r="D2993">
        <v>164</v>
      </c>
      <c r="E2993">
        <f>WEEKNUM(Append321[[#This Row],[Date]])</f>
        <v>31</v>
      </c>
    </row>
    <row r="2994" spans="1:5">
      <c r="A2994" t="s">
        <v>112</v>
      </c>
      <c r="B2994" t="s">
        <v>99</v>
      </c>
      <c r="C2994" s="5">
        <v>45507</v>
      </c>
      <c r="D2994">
        <v>187</v>
      </c>
      <c r="E2994">
        <f>WEEKNUM(Append321[[#This Row],[Date]])</f>
        <v>31</v>
      </c>
    </row>
    <row r="2995" spans="1:5">
      <c r="A2995" t="s">
        <v>112</v>
      </c>
      <c r="B2995" t="s">
        <v>99</v>
      </c>
      <c r="C2995" s="5">
        <v>45527</v>
      </c>
      <c r="D2995">
        <v>97</v>
      </c>
      <c r="E2995">
        <f>WEEKNUM(Append321[[#This Row],[Date]])</f>
        <v>34</v>
      </c>
    </row>
    <row r="2996" spans="1:5">
      <c r="A2996" t="s">
        <v>112</v>
      </c>
      <c r="B2996" t="s">
        <v>99</v>
      </c>
      <c r="C2996" s="5">
        <v>45528</v>
      </c>
      <c r="D2996">
        <v>77</v>
      </c>
      <c r="E2996">
        <f>WEEKNUM(Append321[[#This Row],[Date]])</f>
        <v>34</v>
      </c>
    </row>
    <row r="2997" spans="1:5">
      <c r="A2997" t="s">
        <v>112</v>
      </c>
      <c r="B2997" t="s">
        <v>99</v>
      </c>
      <c r="C2997" s="5">
        <v>45529</v>
      </c>
      <c r="D2997">
        <v>84</v>
      </c>
      <c r="E2997">
        <f>WEEKNUM(Append321[[#This Row],[Date]])</f>
        <v>35</v>
      </c>
    </row>
    <row r="2998" spans="1:5">
      <c r="A2998" t="s">
        <v>112</v>
      </c>
      <c r="B2998" t="s">
        <v>99</v>
      </c>
      <c r="C2998" s="5">
        <v>45530</v>
      </c>
      <c r="D2998">
        <v>81</v>
      </c>
      <c r="E2998">
        <f>WEEKNUM(Append321[[#This Row],[Date]])</f>
        <v>35</v>
      </c>
    </row>
    <row r="2999" spans="1:5">
      <c r="A2999" t="s">
        <v>112</v>
      </c>
      <c r="B2999" t="s">
        <v>99</v>
      </c>
      <c r="C2999" s="5">
        <v>45531</v>
      </c>
      <c r="D2999">
        <v>62</v>
      </c>
      <c r="E2999">
        <f>WEEKNUM(Append321[[#This Row],[Date]])</f>
        <v>35</v>
      </c>
    </row>
    <row r="3000" spans="1:5">
      <c r="A3000" t="s">
        <v>112</v>
      </c>
      <c r="B3000" t="s">
        <v>99</v>
      </c>
      <c r="C3000" s="5">
        <v>45532</v>
      </c>
      <c r="D3000">
        <v>79</v>
      </c>
      <c r="E3000">
        <f>WEEKNUM(Append321[[#This Row],[Date]])</f>
        <v>35</v>
      </c>
    </row>
    <row r="3001" spans="1:5">
      <c r="A3001" t="s">
        <v>112</v>
      </c>
      <c r="B3001" t="s">
        <v>99</v>
      </c>
      <c r="C3001" s="5">
        <v>45533</v>
      </c>
      <c r="D3001">
        <v>77</v>
      </c>
      <c r="E3001">
        <f>WEEKNUM(Append321[[#This Row],[Date]])</f>
        <v>35</v>
      </c>
    </row>
    <row r="3002" spans="1:5">
      <c r="A3002" t="s">
        <v>112</v>
      </c>
      <c r="B3002" t="s">
        <v>99</v>
      </c>
      <c r="C3002" s="5">
        <v>45534</v>
      </c>
      <c r="D3002">
        <v>89</v>
      </c>
      <c r="E3002">
        <f>WEEKNUM(Append321[[#This Row],[Date]])</f>
        <v>35</v>
      </c>
    </row>
    <row r="3003" spans="1:5">
      <c r="A3003" t="s">
        <v>112</v>
      </c>
      <c r="B3003" t="s">
        <v>99</v>
      </c>
      <c r="C3003" s="5">
        <v>45535</v>
      </c>
      <c r="D3003">
        <v>70</v>
      </c>
      <c r="E3003">
        <f>WEEKNUM(Append321[[#This Row],[Date]])</f>
        <v>35</v>
      </c>
    </row>
    <row r="3004" spans="1:5">
      <c r="A3004" t="s">
        <v>112</v>
      </c>
      <c r="B3004" t="s">
        <v>100</v>
      </c>
      <c r="C3004" s="5">
        <v>45486</v>
      </c>
      <c r="D3004">
        <v>180</v>
      </c>
      <c r="E3004">
        <f>WEEKNUM(Append321[[#This Row],[Date]])</f>
        <v>28</v>
      </c>
    </row>
    <row r="3005" spans="1:5">
      <c r="A3005" t="s">
        <v>112</v>
      </c>
      <c r="B3005" t="s">
        <v>100</v>
      </c>
      <c r="C3005" s="5">
        <v>45487</v>
      </c>
      <c r="D3005">
        <v>234</v>
      </c>
      <c r="E3005">
        <f>WEEKNUM(Append321[[#This Row],[Date]])</f>
        <v>29</v>
      </c>
    </row>
    <row r="3006" spans="1:5">
      <c r="A3006" t="s">
        <v>112</v>
      </c>
      <c r="B3006" t="s">
        <v>100</v>
      </c>
      <c r="C3006" s="5">
        <v>45488</v>
      </c>
      <c r="D3006">
        <v>260</v>
      </c>
      <c r="E3006">
        <f>WEEKNUM(Append321[[#This Row],[Date]])</f>
        <v>29</v>
      </c>
    </row>
    <row r="3007" spans="1:5">
      <c r="A3007" t="s">
        <v>112</v>
      </c>
      <c r="B3007" t="s">
        <v>100</v>
      </c>
      <c r="C3007" s="5">
        <v>45489</v>
      </c>
      <c r="D3007">
        <v>265</v>
      </c>
      <c r="E3007">
        <f>WEEKNUM(Append321[[#This Row],[Date]])</f>
        <v>29</v>
      </c>
    </row>
    <row r="3008" spans="1:5">
      <c r="A3008" t="s">
        <v>112</v>
      </c>
      <c r="B3008" t="s">
        <v>100</v>
      </c>
      <c r="C3008" s="5">
        <v>45490</v>
      </c>
      <c r="D3008">
        <v>189</v>
      </c>
      <c r="E3008">
        <f>WEEKNUM(Append321[[#This Row],[Date]])</f>
        <v>29</v>
      </c>
    </row>
    <row r="3009" spans="1:5">
      <c r="A3009" t="s">
        <v>112</v>
      </c>
      <c r="B3009" t="s">
        <v>100</v>
      </c>
      <c r="C3009" s="5">
        <v>45491</v>
      </c>
      <c r="D3009">
        <v>183</v>
      </c>
      <c r="E3009">
        <f>WEEKNUM(Append321[[#This Row],[Date]])</f>
        <v>29</v>
      </c>
    </row>
    <row r="3010" spans="1:5">
      <c r="A3010" t="s">
        <v>112</v>
      </c>
      <c r="B3010" t="s">
        <v>100</v>
      </c>
      <c r="C3010" s="5">
        <v>45492</v>
      </c>
      <c r="D3010">
        <v>176</v>
      </c>
      <c r="E3010">
        <f>WEEKNUM(Append321[[#This Row],[Date]])</f>
        <v>29</v>
      </c>
    </row>
    <row r="3011" spans="1:5">
      <c r="A3011" t="s">
        <v>112</v>
      </c>
      <c r="B3011" t="s">
        <v>100</v>
      </c>
      <c r="C3011" s="5">
        <v>45493</v>
      </c>
      <c r="D3011">
        <v>179</v>
      </c>
      <c r="E3011">
        <f>WEEKNUM(Append321[[#This Row],[Date]])</f>
        <v>29</v>
      </c>
    </row>
    <row r="3012" spans="1:5">
      <c r="A3012" t="s">
        <v>112</v>
      </c>
      <c r="B3012" t="s">
        <v>100</v>
      </c>
      <c r="C3012" s="5">
        <v>45494</v>
      </c>
      <c r="D3012">
        <v>193</v>
      </c>
      <c r="E3012">
        <f>WEEKNUM(Append321[[#This Row],[Date]])</f>
        <v>30</v>
      </c>
    </row>
    <row r="3013" spans="1:5">
      <c r="A3013" t="s">
        <v>112</v>
      </c>
      <c r="B3013" t="s">
        <v>100</v>
      </c>
      <c r="C3013" s="5">
        <v>45495</v>
      </c>
      <c r="D3013">
        <v>250</v>
      </c>
      <c r="E3013">
        <f>WEEKNUM(Append321[[#This Row],[Date]])</f>
        <v>30</v>
      </c>
    </row>
    <row r="3014" spans="1:5">
      <c r="A3014" t="s">
        <v>112</v>
      </c>
      <c r="B3014" t="s">
        <v>100</v>
      </c>
      <c r="C3014" s="5">
        <v>45496</v>
      </c>
      <c r="D3014">
        <v>227</v>
      </c>
      <c r="E3014">
        <f>WEEKNUM(Append321[[#This Row],[Date]])</f>
        <v>30</v>
      </c>
    </row>
    <row r="3015" spans="1:5">
      <c r="A3015" t="s">
        <v>112</v>
      </c>
      <c r="B3015" t="s">
        <v>100</v>
      </c>
      <c r="C3015" s="5">
        <v>45497</v>
      </c>
      <c r="D3015">
        <v>175</v>
      </c>
      <c r="E3015">
        <f>WEEKNUM(Append321[[#This Row],[Date]])</f>
        <v>30</v>
      </c>
    </row>
    <row r="3016" spans="1:5">
      <c r="A3016" t="s">
        <v>112</v>
      </c>
      <c r="B3016" t="s">
        <v>100</v>
      </c>
      <c r="C3016" s="5">
        <v>45498</v>
      </c>
      <c r="D3016">
        <v>209</v>
      </c>
      <c r="E3016">
        <f>WEEKNUM(Append321[[#This Row],[Date]])</f>
        <v>30</v>
      </c>
    </row>
    <row r="3017" spans="1:5">
      <c r="A3017" t="s">
        <v>112</v>
      </c>
      <c r="B3017" t="s">
        <v>100</v>
      </c>
      <c r="C3017" s="5">
        <v>45499</v>
      </c>
      <c r="D3017">
        <v>142</v>
      </c>
      <c r="E3017">
        <f>WEEKNUM(Append321[[#This Row],[Date]])</f>
        <v>30</v>
      </c>
    </row>
    <row r="3018" spans="1:5">
      <c r="A3018" t="s">
        <v>112</v>
      </c>
      <c r="B3018" t="s">
        <v>100</v>
      </c>
      <c r="C3018" s="5">
        <v>45500</v>
      </c>
      <c r="D3018">
        <v>182</v>
      </c>
      <c r="E3018">
        <f>WEEKNUM(Append321[[#This Row],[Date]])</f>
        <v>30</v>
      </c>
    </row>
    <row r="3019" spans="1:5">
      <c r="A3019" t="s">
        <v>112</v>
      </c>
      <c r="B3019" t="s">
        <v>100</v>
      </c>
      <c r="C3019" s="5">
        <v>45501</v>
      </c>
      <c r="D3019">
        <v>198</v>
      </c>
      <c r="E3019">
        <f>WEEKNUM(Append321[[#This Row],[Date]])</f>
        <v>31</v>
      </c>
    </row>
    <row r="3020" spans="1:5">
      <c r="A3020" t="s">
        <v>112</v>
      </c>
      <c r="B3020" t="s">
        <v>100</v>
      </c>
      <c r="C3020" s="5">
        <v>45502</v>
      </c>
      <c r="D3020">
        <v>224</v>
      </c>
      <c r="E3020">
        <f>WEEKNUM(Append321[[#This Row],[Date]])</f>
        <v>31</v>
      </c>
    </row>
    <row r="3021" spans="1:5">
      <c r="A3021" t="s">
        <v>112</v>
      </c>
      <c r="B3021" t="s">
        <v>100</v>
      </c>
      <c r="C3021" s="5">
        <v>45503</v>
      </c>
      <c r="D3021">
        <v>242</v>
      </c>
      <c r="E3021">
        <f>WEEKNUM(Append321[[#This Row],[Date]])</f>
        <v>31</v>
      </c>
    </row>
    <row r="3022" spans="1:5">
      <c r="A3022" t="s">
        <v>112</v>
      </c>
      <c r="B3022" t="s">
        <v>100</v>
      </c>
      <c r="C3022" s="5">
        <v>45504</v>
      </c>
      <c r="D3022">
        <v>182</v>
      </c>
      <c r="E3022">
        <f>WEEKNUM(Append321[[#This Row],[Date]])</f>
        <v>31</v>
      </c>
    </row>
    <row r="3023" spans="1:5">
      <c r="A3023" t="s">
        <v>112</v>
      </c>
      <c r="B3023" t="s">
        <v>100</v>
      </c>
      <c r="C3023" s="5">
        <v>45505</v>
      </c>
      <c r="D3023">
        <v>133</v>
      </c>
      <c r="E3023">
        <f>WEEKNUM(Append321[[#This Row],[Date]])</f>
        <v>31</v>
      </c>
    </row>
    <row r="3024" spans="1:5">
      <c r="A3024" t="s">
        <v>112</v>
      </c>
      <c r="B3024" t="s">
        <v>100</v>
      </c>
      <c r="C3024" s="5">
        <v>45506</v>
      </c>
      <c r="D3024">
        <v>156</v>
      </c>
      <c r="E3024">
        <f>WEEKNUM(Append321[[#This Row],[Date]])</f>
        <v>31</v>
      </c>
    </row>
    <row r="3025" spans="1:5">
      <c r="A3025" t="s">
        <v>112</v>
      </c>
      <c r="B3025" t="s">
        <v>100</v>
      </c>
      <c r="C3025" s="5">
        <v>45507</v>
      </c>
      <c r="D3025">
        <v>186</v>
      </c>
      <c r="E3025">
        <f>WEEKNUM(Append321[[#This Row],[Date]])</f>
        <v>31</v>
      </c>
    </row>
    <row r="3026" spans="1:5">
      <c r="A3026" t="s">
        <v>112</v>
      </c>
      <c r="B3026" t="s">
        <v>100</v>
      </c>
      <c r="C3026" s="5">
        <v>45527</v>
      </c>
      <c r="D3026">
        <v>71</v>
      </c>
      <c r="E3026">
        <f>WEEKNUM(Append321[[#This Row],[Date]])</f>
        <v>34</v>
      </c>
    </row>
    <row r="3027" spans="1:5">
      <c r="A3027" t="s">
        <v>112</v>
      </c>
      <c r="B3027" t="s">
        <v>100</v>
      </c>
      <c r="C3027" s="5">
        <v>45528</v>
      </c>
      <c r="D3027">
        <v>71</v>
      </c>
      <c r="E3027">
        <f>WEEKNUM(Append321[[#This Row],[Date]])</f>
        <v>34</v>
      </c>
    </row>
    <row r="3028" spans="1:5">
      <c r="A3028" t="s">
        <v>112</v>
      </c>
      <c r="B3028" t="s">
        <v>100</v>
      </c>
      <c r="C3028" s="5">
        <v>45529</v>
      </c>
      <c r="D3028">
        <v>56</v>
      </c>
      <c r="E3028">
        <f>WEEKNUM(Append321[[#This Row],[Date]])</f>
        <v>35</v>
      </c>
    </row>
    <row r="3029" spans="1:5">
      <c r="A3029" t="s">
        <v>112</v>
      </c>
      <c r="B3029" t="s">
        <v>100</v>
      </c>
      <c r="C3029" s="5">
        <v>45530</v>
      </c>
      <c r="D3029">
        <v>53</v>
      </c>
      <c r="E3029">
        <f>WEEKNUM(Append321[[#This Row],[Date]])</f>
        <v>35</v>
      </c>
    </row>
    <row r="3030" spans="1:5">
      <c r="A3030" t="s">
        <v>112</v>
      </c>
      <c r="B3030" t="s">
        <v>100</v>
      </c>
      <c r="C3030" s="5">
        <v>45531</v>
      </c>
      <c r="D3030">
        <v>66</v>
      </c>
      <c r="E3030">
        <f>WEEKNUM(Append321[[#This Row],[Date]])</f>
        <v>35</v>
      </c>
    </row>
    <row r="3031" spans="1:5">
      <c r="A3031" t="s">
        <v>112</v>
      </c>
      <c r="B3031" t="s">
        <v>100</v>
      </c>
      <c r="C3031" s="5">
        <v>45532</v>
      </c>
      <c r="D3031">
        <v>69</v>
      </c>
      <c r="E3031">
        <f>WEEKNUM(Append321[[#This Row],[Date]])</f>
        <v>35</v>
      </c>
    </row>
    <row r="3032" spans="1:5">
      <c r="A3032" t="s">
        <v>112</v>
      </c>
      <c r="B3032" t="s">
        <v>100</v>
      </c>
      <c r="C3032" s="5">
        <v>45533</v>
      </c>
      <c r="D3032">
        <v>63</v>
      </c>
      <c r="E3032">
        <f>WEEKNUM(Append321[[#This Row],[Date]])</f>
        <v>35</v>
      </c>
    </row>
    <row r="3033" spans="1:5">
      <c r="A3033" t="s">
        <v>112</v>
      </c>
      <c r="B3033" t="s">
        <v>100</v>
      </c>
      <c r="C3033" s="5">
        <v>45534</v>
      </c>
      <c r="D3033">
        <v>72</v>
      </c>
      <c r="E3033">
        <f>WEEKNUM(Append321[[#This Row],[Date]])</f>
        <v>35</v>
      </c>
    </row>
    <row r="3034" spans="1:5">
      <c r="A3034" t="s">
        <v>112</v>
      </c>
      <c r="B3034" t="s">
        <v>100</v>
      </c>
      <c r="C3034" s="5">
        <v>45535</v>
      </c>
      <c r="D3034">
        <v>57</v>
      </c>
      <c r="E3034">
        <f>WEEKNUM(Append321[[#This Row],[Date]])</f>
        <v>35</v>
      </c>
    </row>
    <row r="3035" spans="1:5">
      <c r="A3035" t="s">
        <v>112</v>
      </c>
      <c r="B3035" t="s">
        <v>101</v>
      </c>
      <c r="C3035" s="5">
        <v>45486</v>
      </c>
      <c r="D3035">
        <v>86</v>
      </c>
      <c r="E3035">
        <f>WEEKNUM(Append321[[#This Row],[Date]])</f>
        <v>28</v>
      </c>
    </row>
    <row r="3036" spans="1:5">
      <c r="A3036" t="s">
        <v>112</v>
      </c>
      <c r="B3036" t="s">
        <v>101</v>
      </c>
      <c r="C3036" s="5">
        <v>45487</v>
      </c>
      <c r="D3036">
        <v>94</v>
      </c>
      <c r="E3036">
        <f>WEEKNUM(Append321[[#This Row],[Date]])</f>
        <v>29</v>
      </c>
    </row>
    <row r="3037" spans="1:5">
      <c r="A3037" t="s">
        <v>112</v>
      </c>
      <c r="B3037" t="s">
        <v>101</v>
      </c>
      <c r="C3037" s="5">
        <v>45488</v>
      </c>
      <c r="D3037">
        <v>99</v>
      </c>
      <c r="E3037">
        <f>WEEKNUM(Append321[[#This Row],[Date]])</f>
        <v>29</v>
      </c>
    </row>
    <row r="3038" spans="1:5">
      <c r="A3038" t="s">
        <v>112</v>
      </c>
      <c r="B3038" t="s">
        <v>101</v>
      </c>
      <c r="C3038" s="5">
        <v>45489</v>
      </c>
      <c r="D3038">
        <v>121</v>
      </c>
      <c r="E3038">
        <f>WEEKNUM(Append321[[#This Row],[Date]])</f>
        <v>29</v>
      </c>
    </row>
    <row r="3039" spans="1:5">
      <c r="A3039" t="s">
        <v>112</v>
      </c>
      <c r="B3039" t="s">
        <v>101</v>
      </c>
      <c r="C3039" s="5">
        <v>45490</v>
      </c>
      <c r="D3039">
        <v>108</v>
      </c>
      <c r="E3039">
        <f>WEEKNUM(Append321[[#This Row],[Date]])</f>
        <v>29</v>
      </c>
    </row>
    <row r="3040" spans="1:5">
      <c r="A3040" t="s">
        <v>112</v>
      </c>
      <c r="B3040" t="s">
        <v>101</v>
      </c>
      <c r="C3040" s="5">
        <v>45491</v>
      </c>
      <c r="D3040">
        <v>102</v>
      </c>
      <c r="E3040">
        <f>WEEKNUM(Append321[[#This Row],[Date]])</f>
        <v>29</v>
      </c>
    </row>
    <row r="3041" spans="1:5">
      <c r="A3041" t="s">
        <v>112</v>
      </c>
      <c r="B3041" t="s">
        <v>101</v>
      </c>
      <c r="C3041" s="5">
        <v>45492</v>
      </c>
      <c r="D3041">
        <v>96</v>
      </c>
      <c r="E3041">
        <f>WEEKNUM(Append321[[#This Row],[Date]])</f>
        <v>29</v>
      </c>
    </row>
    <row r="3042" spans="1:5">
      <c r="A3042" t="s">
        <v>112</v>
      </c>
      <c r="B3042" t="s">
        <v>101</v>
      </c>
      <c r="C3042" s="5">
        <v>45493</v>
      </c>
      <c r="D3042">
        <v>121</v>
      </c>
      <c r="E3042">
        <f>WEEKNUM(Append321[[#This Row],[Date]])</f>
        <v>29</v>
      </c>
    </row>
    <row r="3043" spans="1:5">
      <c r="A3043" t="s">
        <v>112</v>
      </c>
      <c r="B3043" t="s">
        <v>101</v>
      </c>
      <c r="C3043" s="5">
        <v>45494</v>
      </c>
      <c r="D3043">
        <v>104</v>
      </c>
      <c r="E3043">
        <f>WEEKNUM(Append321[[#This Row],[Date]])</f>
        <v>30</v>
      </c>
    </row>
    <row r="3044" spans="1:5">
      <c r="A3044" t="s">
        <v>112</v>
      </c>
      <c r="B3044" t="s">
        <v>101</v>
      </c>
      <c r="C3044" s="5">
        <v>45495</v>
      </c>
      <c r="D3044">
        <v>109</v>
      </c>
      <c r="E3044">
        <f>WEEKNUM(Append321[[#This Row],[Date]])</f>
        <v>30</v>
      </c>
    </row>
    <row r="3045" spans="1:5">
      <c r="A3045" t="s">
        <v>112</v>
      </c>
      <c r="B3045" t="s">
        <v>101</v>
      </c>
      <c r="C3045" s="5">
        <v>45496</v>
      </c>
      <c r="D3045">
        <v>119</v>
      </c>
      <c r="E3045">
        <f>WEEKNUM(Append321[[#This Row],[Date]])</f>
        <v>30</v>
      </c>
    </row>
    <row r="3046" spans="1:5">
      <c r="A3046" t="s">
        <v>112</v>
      </c>
      <c r="B3046" t="s">
        <v>101</v>
      </c>
      <c r="C3046" s="5">
        <v>45497</v>
      </c>
      <c r="D3046">
        <v>96</v>
      </c>
      <c r="E3046">
        <f>WEEKNUM(Append321[[#This Row],[Date]])</f>
        <v>30</v>
      </c>
    </row>
    <row r="3047" spans="1:5">
      <c r="A3047" t="s">
        <v>112</v>
      </c>
      <c r="B3047" t="s">
        <v>101</v>
      </c>
      <c r="C3047" s="5">
        <v>45498</v>
      </c>
      <c r="D3047">
        <v>96</v>
      </c>
      <c r="E3047">
        <f>WEEKNUM(Append321[[#This Row],[Date]])</f>
        <v>30</v>
      </c>
    </row>
    <row r="3048" spans="1:5">
      <c r="A3048" t="s">
        <v>112</v>
      </c>
      <c r="B3048" t="s">
        <v>101</v>
      </c>
      <c r="C3048" s="5">
        <v>45499</v>
      </c>
      <c r="D3048">
        <v>96</v>
      </c>
      <c r="E3048">
        <f>WEEKNUM(Append321[[#This Row],[Date]])</f>
        <v>30</v>
      </c>
    </row>
    <row r="3049" spans="1:5">
      <c r="A3049" t="s">
        <v>112</v>
      </c>
      <c r="B3049" t="s">
        <v>101</v>
      </c>
      <c r="C3049" s="5">
        <v>45500</v>
      </c>
      <c r="D3049">
        <v>96</v>
      </c>
      <c r="E3049">
        <f>WEEKNUM(Append321[[#This Row],[Date]])</f>
        <v>30</v>
      </c>
    </row>
    <row r="3050" spans="1:5">
      <c r="A3050" t="s">
        <v>112</v>
      </c>
      <c r="B3050" t="s">
        <v>101</v>
      </c>
      <c r="C3050" s="5">
        <v>45501</v>
      </c>
      <c r="D3050">
        <v>95</v>
      </c>
      <c r="E3050">
        <f>WEEKNUM(Append321[[#This Row],[Date]])</f>
        <v>31</v>
      </c>
    </row>
    <row r="3051" spans="1:5">
      <c r="A3051" t="s">
        <v>112</v>
      </c>
      <c r="B3051" t="s">
        <v>101</v>
      </c>
      <c r="C3051" s="5">
        <v>45502</v>
      </c>
      <c r="D3051">
        <v>112</v>
      </c>
      <c r="E3051">
        <f>WEEKNUM(Append321[[#This Row],[Date]])</f>
        <v>31</v>
      </c>
    </row>
    <row r="3052" spans="1:5">
      <c r="A3052" t="s">
        <v>112</v>
      </c>
      <c r="B3052" t="s">
        <v>101</v>
      </c>
      <c r="C3052" s="5">
        <v>45503</v>
      </c>
      <c r="D3052">
        <v>110</v>
      </c>
      <c r="E3052">
        <f>WEEKNUM(Append321[[#This Row],[Date]])</f>
        <v>31</v>
      </c>
    </row>
    <row r="3053" spans="1:5">
      <c r="A3053" t="s">
        <v>112</v>
      </c>
      <c r="B3053" t="s">
        <v>101</v>
      </c>
      <c r="C3053" s="5">
        <v>45504</v>
      </c>
      <c r="D3053">
        <v>107</v>
      </c>
      <c r="E3053">
        <f>WEEKNUM(Append321[[#This Row],[Date]])</f>
        <v>31</v>
      </c>
    </row>
    <row r="3054" spans="1:5">
      <c r="A3054" t="s">
        <v>112</v>
      </c>
      <c r="B3054" t="s">
        <v>101</v>
      </c>
      <c r="C3054" s="5">
        <v>45505</v>
      </c>
      <c r="D3054">
        <v>111</v>
      </c>
      <c r="E3054">
        <f>WEEKNUM(Append321[[#This Row],[Date]])</f>
        <v>31</v>
      </c>
    </row>
    <row r="3055" spans="1:5">
      <c r="A3055" t="s">
        <v>112</v>
      </c>
      <c r="B3055" t="s">
        <v>101</v>
      </c>
      <c r="C3055" s="5">
        <v>45506</v>
      </c>
      <c r="D3055">
        <v>90</v>
      </c>
      <c r="E3055">
        <f>WEEKNUM(Append321[[#This Row],[Date]])</f>
        <v>31</v>
      </c>
    </row>
    <row r="3056" spans="1:5">
      <c r="A3056" t="s">
        <v>112</v>
      </c>
      <c r="B3056" t="s">
        <v>101</v>
      </c>
      <c r="C3056" s="5">
        <v>45507</v>
      </c>
      <c r="D3056">
        <v>110</v>
      </c>
      <c r="E3056">
        <f>WEEKNUM(Append321[[#This Row],[Date]])</f>
        <v>31</v>
      </c>
    </row>
    <row r="3057" spans="1:5">
      <c r="A3057" t="s">
        <v>112</v>
      </c>
      <c r="B3057" t="s">
        <v>101</v>
      </c>
      <c r="C3057" s="5">
        <v>45527</v>
      </c>
      <c r="D3057">
        <v>46</v>
      </c>
      <c r="E3057">
        <f>WEEKNUM(Append321[[#This Row],[Date]])</f>
        <v>34</v>
      </c>
    </row>
    <row r="3058" spans="1:5">
      <c r="A3058" t="s">
        <v>112</v>
      </c>
      <c r="B3058" t="s">
        <v>101</v>
      </c>
      <c r="C3058" s="5">
        <v>45528</v>
      </c>
      <c r="D3058">
        <v>47</v>
      </c>
      <c r="E3058">
        <f>WEEKNUM(Append321[[#This Row],[Date]])</f>
        <v>34</v>
      </c>
    </row>
    <row r="3059" spans="1:5">
      <c r="A3059" t="s">
        <v>112</v>
      </c>
      <c r="B3059" t="s">
        <v>101</v>
      </c>
      <c r="C3059" s="5">
        <v>45529</v>
      </c>
      <c r="D3059">
        <v>31</v>
      </c>
      <c r="E3059">
        <f>WEEKNUM(Append321[[#This Row],[Date]])</f>
        <v>35</v>
      </c>
    </row>
    <row r="3060" spans="1:5">
      <c r="A3060" t="s">
        <v>112</v>
      </c>
      <c r="B3060" t="s">
        <v>101</v>
      </c>
      <c r="C3060" s="5">
        <v>45530</v>
      </c>
      <c r="D3060">
        <v>37</v>
      </c>
      <c r="E3060">
        <f>WEEKNUM(Append321[[#This Row],[Date]])</f>
        <v>35</v>
      </c>
    </row>
    <row r="3061" spans="1:5">
      <c r="A3061" t="s">
        <v>112</v>
      </c>
      <c r="B3061" t="s">
        <v>101</v>
      </c>
      <c r="C3061" s="5">
        <v>45531</v>
      </c>
      <c r="D3061">
        <v>40</v>
      </c>
      <c r="E3061">
        <f>WEEKNUM(Append321[[#This Row],[Date]])</f>
        <v>35</v>
      </c>
    </row>
    <row r="3062" spans="1:5">
      <c r="A3062" t="s">
        <v>112</v>
      </c>
      <c r="B3062" t="s">
        <v>101</v>
      </c>
      <c r="C3062" s="5">
        <v>45532</v>
      </c>
      <c r="D3062">
        <v>21</v>
      </c>
      <c r="E3062">
        <f>WEEKNUM(Append321[[#This Row],[Date]])</f>
        <v>35</v>
      </c>
    </row>
    <row r="3063" spans="1:5">
      <c r="A3063" t="s">
        <v>112</v>
      </c>
      <c r="B3063" t="s">
        <v>101</v>
      </c>
      <c r="C3063" s="5">
        <v>45533</v>
      </c>
      <c r="D3063">
        <v>22</v>
      </c>
      <c r="E3063">
        <f>WEEKNUM(Append321[[#This Row],[Date]])</f>
        <v>35</v>
      </c>
    </row>
    <row r="3064" spans="1:5">
      <c r="A3064" t="s">
        <v>112</v>
      </c>
      <c r="B3064" t="s">
        <v>101</v>
      </c>
      <c r="C3064" s="5">
        <v>45534</v>
      </c>
      <c r="D3064">
        <v>44</v>
      </c>
      <c r="E3064">
        <f>WEEKNUM(Append321[[#This Row],[Date]])</f>
        <v>35</v>
      </c>
    </row>
    <row r="3065" spans="1:5">
      <c r="A3065" t="s">
        <v>112</v>
      </c>
      <c r="B3065" t="s">
        <v>101</v>
      </c>
      <c r="C3065" s="5">
        <v>45535</v>
      </c>
      <c r="D3065">
        <v>37</v>
      </c>
      <c r="E3065">
        <f>WEEKNUM(Append321[[#This Row],[Date]])</f>
        <v>35</v>
      </c>
    </row>
    <row r="3066" spans="1:5">
      <c r="A3066" t="s">
        <v>112</v>
      </c>
      <c r="B3066" t="s">
        <v>102</v>
      </c>
      <c r="C3066" s="5">
        <v>45486</v>
      </c>
      <c r="D3066">
        <v>207</v>
      </c>
      <c r="E3066">
        <f>WEEKNUM(Append321[[#This Row],[Date]])</f>
        <v>28</v>
      </c>
    </row>
    <row r="3067" spans="1:5">
      <c r="A3067" t="s">
        <v>112</v>
      </c>
      <c r="B3067" t="s">
        <v>102</v>
      </c>
      <c r="C3067" s="5">
        <v>45487</v>
      </c>
      <c r="D3067">
        <v>196</v>
      </c>
      <c r="E3067">
        <f>WEEKNUM(Append321[[#This Row],[Date]])</f>
        <v>29</v>
      </c>
    </row>
    <row r="3068" spans="1:5">
      <c r="A3068" t="s">
        <v>112</v>
      </c>
      <c r="B3068" t="s">
        <v>102</v>
      </c>
      <c r="C3068" s="5">
        <v>45488</v>
      </c>
      <c r="D3068">
        <v>228</v>
      </c>
      <c r="E3068">
        <f>WEEKNUM(Append321[[#This Row],[Date]])</f>
        <v>29</v>
      </c>
    </row>
    <row r="3069" spans="1:5">
      <c r="A3069" t="s">
        <v>112</v>
      </c>
      <c r="B3069" t="s">
        <v>102</v>
      </c>
      <c r="C3069" s="5">
        <v>45489</v>
      </c>
      <c r="D3069">
        <v>255</v>
      </c>
      <c r="E3069">
        <f>WEEKNUM(Append321[[#This Row],[Date]])</f>
        <v>29</v>
      </c>
    </row>
    <row r="3070" spans="1:5">
      <c r="A3070" t="s">
        <v>112</v>
      </c>
      <c r="B3070" t="s">
        <v>102</v>
      </c>
      <c r="C3070" s="5">
        <v>45490</v>
      </c>
      <c r="D3070">
        <v>200</v>
      </c>
      <c r="E3070">
        <f>WEEKNUM(Append321[[#This Row],[Date]])</f>
        <v>29</v>
      </c>
    </row>
    <row r="3071" spans="1:5">
      <c r="A3071" t="s">
        <v>112</v>
      </c>
      <c r="B3071" t="s">
        <v>102</v>
      </c>
      <c r="C3071" s="5">
        <v>45491</v>
      </c>
      <c r="D3071">
        <v>207</v>
      </c>
      <c r="E3071">
        <f>WEEKNUM(Append321[[#This Row],[Date]])</f>
        <v>29</v>
      </c>
    </row>
    <row r="3072" spans="1:5">
      <c r="A3072" t="s">
        <v>112</v>
      </c>
      <c r="B3072" t="s">
        <v>102</v>
      </c>
      <c r="C3072" s="5">
        <v>45492</v>
      </c>
      <c r="D3072">
        <v>204</v>
      </c>
      <c r="E3072">
        <f>WEEKNUM(Append321[[#This Row],[Date]])</f>
        <v>29</v>
      </c>
    </row>
    <row r="3073" spans="1:5">
      <c r="A3073" t="s">
        <v>112</v>
      </c>
      <c r="B3073" t="s">
        <v>102</v>
      </c>
      <c r="C3073" s="5">
        <v>45493</v>
      </c>
      <c r="D3073">
        <v>271</v>
      </c>
      <c r="E3073">
        <f>WEEKNUM(Append321[[#This Row],[Date]])</f>
        <v>29</v>
      </c>
    </row>
    <row r="3074" spans="1:5">
      <c r="A3074" t="s">
        <v>112</v>
      </c>
      <c r="B3074" t="s">
        <v>102</v>
      </c>
      <c r="C3074" s="5">
        <v>45494</v>
      </c>
      <c r="D3074">
        <v>212</v>
      </c>
      <c r="E3074">
        <f>WEEKNUM(Append321[[#This Row],[Date]])</f>
        <v>30</v>
      </c>
    </row>
    <row r="3075" spans="1:5">
      <c r="A3075" t="s">
        <v>112</v>
      </c>
      <c r="B3075" t="s">
        <v>102</v>
      </c>
      <c r="C3075" s="5">
        <v>45495</v>
      </c>
      <c r="D3075">
        <v>242</v>
      </c>
      <c r="E3075">
        <f>WEEKNUM(Append321[[#This Row],[Date]])</f>
        <v>30</v>
      </c>
    </row>
    <row r="3076" spans="1:5">
      <c r="A3076" t="s">
        <v>112</v>
      </c>
      <c r="B3076" t="s">
        <v>102</v>
      </c>
      <c r="C3076" s="5">
        <v>45496</v>
      </c>
      <c r="D3076">
        <v>265</v>
      </c>
      <c r="E3076">
        <f>WEEKNUM(Append321[[#This Row],[Date]])</f>
        <v>30</v>
      </c>
    </row>
    <row r="3077" spans="1:5">
      <c r="A3077" t="s">
        <v>112</v>
      </c>
      <c r="B3077" t="s">
        <v>102</v>
      </c>
      <c r="C3077" s="5">
        <v>45497</v>
      </c>
      <c r="D3077">
        <v>215</v>
      </c>
      <c r="E3077">
        <f>WEEKNUM(Append321[[#This Row],[Date]])</f>
        <v>30</v>
      </c>
    </row>
    <row r="3078" spans="1:5">
      <c r="A3078" t="s">
        <v>112</v>
      </c>
      <c r="B3078" t="s">
        <v>102</v>
      </c>
      <c r="C3078" s="5">
        <v>45498</v>
      </c>
      <c r="D3078">
        <v>194</v>
      </c>
      <c r="E3078">
        <f>WEEKNUM(Append321[[#This Row],[Date]])</f>
        <v>30</v>
      </c>
    </row>
    <row r="3079" spans="1:5">
      <c r="A3079" t="s">
        <v>112</v>
      </c>
      <c r="B3079" t="s">
        <v>102</v>
      </c>
      <c r="C3079" s="5">
        <v>45499</v>
      </c>
      <c r="D3079">
        <v>227</v>
      </c>
      <c r="E3079">
        <f>WEEKNUM(Append321[[#This Row],[Date]])</f>
        <v>30</v>
      </c>
    </row>
    <row r="3080" spans="1:5">
      <c r="A3080" t="s">
        <v>112</v>
      </c>
      <c r="B3080" t="s">
        <v>102</v>
      </c>
      <c r="C3080" s="5">
        <v>45500</v>
      </c>
      <c r="D3080">
        <v>214</v>
      </c>
      <c r="E3080">
        <f>WEEKNUM(Append321[[#This Row],[Date]])</f>
        <v>30</v>
      </c>
    </row>
    <row r="3081" spans="1:5">
      <c r="A3081" t="s">
        <v>112</v>
      </c>
      <c r="B3081" t="s">
        <v>102</v>
      </c>
      <c r="C3081" s="5">
        <v>45501</v>
      </c>
      <c r="D3081">
        <v>202</v>
      </c>
      <c r="E3081">
        <f>WEEKNUM(Append321[[#This Row],[Date]])</f>
        <v>31</v>
      </c>
    </row>
    <row r="3082" spans="1:5">
      <c r="A3082" t="s">
        <v>112</v>
      </c>
      <c r="B3082" t="s">
        <v>102</v>
      </c>
      <c r="C3082" s="5">
        <v>45502</v>
      </c>
      <c r="D3082">
        <v>225</v>
      </c>
      <c r="E3082">
        <f>WEEKNUM(Append321[[#This Row],[Date]])</f>
        <v>31</v>
      </c>
    </row>
    <row r="3083" spans="1:5">
      <c r="A3083" t="s">
        <v>112</v>
      </c>
      <c r="B3083" t="s">
        <v>102</v>
      </c>
      <c r="C3083" s="5">
        <v>45503</v>
      </c>
      <c r="D3083">
        <v>281</v>
      </c>
      <c r="E3083">
        <f>WEEKNUM(Append321[[#This Row],[Date]])</f>
        <v>31</v>
      </c>
    </row>
    <row r="3084" spans="1:5">
      <c r="A3084" t="s">
        <v>112</v>
      </c>
      <c r="B3084" t="s">
        <v>102</v>
      </c>
      <c r="C3084" s="5">
        <v>45504</v>
      </c>
      <c r="D3084">
        <v>223</v>
      </c>
      <c r="E3084">
        <f>WEEKNUM(Append321[[#This Row],[Date]])</f>
        <v>31</v>
      </c>
    </row>
    <row r="3085" spans="1:5">
      <c r="A3085" t="s">
        <v>112</v>
      </c>
      <c r="B3085" t="s">
        <v>102</v>
      </c>
      <c r="C3085" s="5">
        <v>45505</v>
      </c>
      <c r="D3085">
        <v>227</v>
      </c>
      <c r="E3085">
        <f>WEEKNUM(Append321[[#This Row],[Date]])</f>
        <v>31</v>
      </c>
    </row>
    <row r="3086" spans="1:5">
      <c r="A3086" t="s">
        <v>112</v>
      </c>
      <c r="B3086" t="s">
        <v>102</v>
      </c>
      <c r="C3086" s="5">
        <v>45506</v>
      </c>
      <c r="D3086">
        <v>192</v>
      </c>
      <c r="E3086">
        <f>WEEKNUM(Append321[[#This Row],[Date]])</f>
        <v>31</v>
      </c>
    </row>
    <row r="3087" spans="1:5">
      <c r="A3087" t="s">
        <v>112</v>
      </c>
      <c r="B3087" t="s">
        <v>102</v>
      </c>
      <c r="C3087" s="5">
        <v>45507</v>
      </c>
      <c r="D3087">
        <v>235</v>
      </c>
      <c r="E3087">
        <f>WEEKNUM(Append321[[#This Row],[Date]])</f>
        <v>31</v>
      </c>
    </row>
    <row r="3088" spans="1:5">
      <c r="A3088" t="s">
        <v>112</v>
      </c>
      <c r="B3088" t="s">
        <v>102</v>
      </c>
      <c r="C3088" s="5">
        <v>45527</v>
      </c>
      <c r="D3088">
        <v>215</v>
      </c>
      <c r="E3088">
        <f>WEEKNUM(Append321[[#This Row],[Date]])</f>
        <v>34</v>
      </c>
    </row>
    <row r="3089" spans="1:5">
      <c r="A3089" t="s">
        <v>112</v>
      </c>
      <c r="B3089" t="s">
        <v>102</v>
      </c>
      <c r="C3089" s="5">
        <v>45528</v>
      </c>
      <c r="D3089">
        <v>237</v>
      </c>
      <c r="E3089">
        <f>WEEKNUM(Append321[[#This Row],[Date]])</f>
        <v>34</v>
      </c>
    </row>
    <row r="3090" spans="1:5">
      <c r="A3090" t="s">
        <v>112</v>
      </c>
      <c r="B3090" t="s">
        <v>102</v>
      </c>
      <c r="C3090" s="5">
        <v>45529</v>
      </c>
      <c r="D3090">
        <v>189</v>
      </c>
      <c r="E3090">
        <f>WEEKNUM(Append321[[#This Row],[Date]])</f>
        <v>35</v>
      </c>
    </row>
    <row r="3091" spans="1:5">
      <c r="A3091" t="s">
        <v>112</v>
      </c>
      <c r="B3091" t="s">
        <v>102</v>
      </c>
      <c r="C3091" s="5">
        <v>45530</v>
      </c>
      <c r="D3091">
        <v>172</v>
      </c>
      <c r="E3091">
        <f>WEEKNUM(Append321[[#This Row],[Date]])</f>
        <v>35</v>
      </c>
    </row>
    <row r="3092" spans="1:5">
      <c r="A3092" t="s">
        <v>112</v>
      </c>
      <c r="B3092" t="s">
        <v>102</v>
      </c>
      <c r="C3092" s="5">
        <v>45531</v>
      </c>
      <c r="D3092">
        <v>203</v>
      </c>
      <c r="E3092">
        <f>WEEKNUM(Append321[[#This Row],[Date]])</f>
        <v>35</v>
      </c>
    </row>
    <row r="3093" spans="1:5">
      <c r="A3093" t="s">
        <v>112</v>
      </c>
      <c r="B3093" t="s">
        <v>102</v>
      </c>
      <c r="C3093" s="5">
        <v>45532</v>
      </c>
      <c r="D3093">
        <v>167</v>
      </c>
      <c r="E3093">
        <f>WEEKNUM(Append321[[#This Row],[Date]])</f>
        <v>35</v>
      </c>
    </row>
    <row r="3094" spans="1:5">
      <c r="A3094" t="s">
        <v>112</v>
      </c>
      <c r="B3094" t="s">
        <v>102</v>
      </c>
      <c r="C3094" s="5">
        <v>45533</v>
      </c>
      <c r="D3094">
        <v>185</v>
      </c>
      <c r="E3094">
        <f>WEEKNUM(Append321[[#This Row],[Date]])</f>
        <v>35</v>
      </c>
    </row>
    <row r="3095" spans="1:5">
      <c r="A3095" t="s">
        <v>112</v>
      </c>
      <c r="B3095" t="s">
        <v>102</v>
      </c>
      <c r="C3095" s="5">
        <v>45534</v>
      </c>
      <c r="D3095">
        <v>164</v>
      </c>
      <c r="E3095">
        <f>WEEKNUM(Append321[[#This Row],[Date]])</f>
        <v>35</v>
      </c>
    </row>
    <row r="3096" spans="1:5">
      <c r="A3096" t="s">
        <v>112</v>
      </c>
      <c r="B3096" t="s">
        <v>102</v>
      </c>
      <c r="C3096" s="5">
        <v>45535</v>
      </c>
      <c r="D3096">
        <v>177</v>
      </c>
      <c r="E3096">
        <f>WEEKNUM(Append321[[#This Row],[Date]])</f>
        <v>35</v>
      </c>
    </row>
    <row r="3097" spans="1:5">
      <c r="A3097" t="s">
        <v>112</v>
      </c>
      <c r="B3097" t="s">
        <v>103</v>
      </c>
      <c r="C3097" s="5">
        <v>45486</v>
      </c>
      <c r="D3097">
        <v>110</v>
      </c>
      <c r="E3097">
        <f>WEEKNUM(Append321[[#This Row],[Date]])</f>
        <v>28</v>
      </c>
    </row>
    <row r="3098" spans="1:5">
      <c r="A3098" t="s">
        <v>112</v>
      </c>
      <c r="B3098" t="s">
        <v>103</v>
      </c>
      <c r="C3098" s="5">
        <v>45487</v>
      </c>
      <c r="D3098">
        <v>83</v>
      </c>
      <c r="E3098">
        <f>WEEKNUM(Append321[[#This Row],[Date]])</f>
        <v>29</v>
      </c>
    </row>
    <row r="3099" spans="1:5">
      <c r="A3099" t="s">
        <v>112</v>
      </c>
      <c r="B3099" t="s">
        <v>103</v>
      </c>
      <c r="C3099" s="5">
        <v>45488</v>
      </c>
      <c r="D3099">
        <v>120</v>
      </c>
      <c r="E3099">
        <f>WEEKNUM(Append321[[#This Row],[Date]])</f>
        <v>29</v>
      </c>
    </row>
    <row r="3100" spans="1:5">
      <c r="A3100" t="s">
        <v>112</v>
      </c>
      <c r="B3100" t="s">
        <v>103</v>
      </c>
      <c r="C3100" s="5">
        <v>45489</v>
      </c>
      <c r="D3100">
        <v>126</v>
      </c>
      <c r="E3100">
        <f>WEEKNUM(Append321[[#This Row],[Date]])</f>
        <v>29</v>
      </c>
    </row>
    <row r="3101" spans="1:5">
      <c r="A3101" t="s">
        <v>112</v>
      </c>
      <c r="B3101" t="s">
        <v>103</v>
      </c>
      <c r="C3101" s="5">
        <v>45490</v>
      </c>
      <c r="D3101">
        <v>98</v>
      </c>
      <c r="E3101">
        <f>WEEKNUM(Append321[[#This Row],[Date]])</f>
        <v>29</v>
      </c>
    </row>
    <row r="3102" spans="1:5">
      <c r="A3102" t="s">
        <v>112</v>
      </c>
      <c r="B3102" t="s">
        <v>103</v>
      </c>
      <c r="C3102" s="5">
        <v>45491</v>
      </c>
      <c r="D3102">
        <v>86</v>
      </c>
      <c r="E3102">
        <f>WEEKNUM(Append321[[#This Row],[Date]])</f>
        <v>29</v>
      </c>
    </row>
    <row r="3103" spans="1:5">
      <c r="A3103" t="s">
        <v>112</v>
      </c>
      <c r="B3103" t="s">
        <v>103</v>
      </c>
      <c r="C3103" s="5">
        <v>45492</v>
      </c>
      <c r="D3103">
        <v>98</v>
      </c>
      <c r="E3103">
        <f>WEEKNUM(Append321[[#This Row],[Date]])</f>
        <v>29</v>
      </c>
    </row>
    <row r="3104" spans="1:5">
      <c r="A3104" t="s">
        <v>112</v>
      </c>
      <c r="B3104" t="s">
        <v>103</v>
      </c>
      <c r="C3104" s="5">
        <v>45493</v>
      </c>
      <c r="D3104">
        <v>102</v>
      </c>
      <c r="E3104">
        <f>WEEKNUM(Append321[[#This Row],[Date]])</f>
        <v>29</v>
      </c>
    </row>
    <row r="3105" spans="1:5">
      <c r="A3105" t="s">
        <v>112</v>
      </c>
      <c r="B3105" t="s">
        <v>103</v>
      </c>
      <c r="C3105" s="5">
        <v>45494</v>
      </c>
      <c r="D3105">
        <v>112</v>
      </c>
      <c r="E3105">
        <f>WEEKNUM(Append321[[#This Row],[Date]])</f>
        <v>30</v>
      </c>
    </row>
    <row r="3106" spans="1:5">
      <c r="A3106" t="s">
        <v>112</v>
      </c>
      <c r="B3106" t="s">
        <v>103</v>
      </c>
      <c r="C3106" s="5">
        <v>45495</v>
      </c>
      <c r="D3106">
        <v>77</v>
      </c>
      <c r="E3106">
        <f>WEEKNUM(Append321[[#This Row],[Date]])</f>
        <v>30</v>
      </c>
    </row>
    <row r="3107" spans="1:5">
      <c r="A3107" t="s">
        <v>112</v>
      </c>
      <c r="B3107" t="s">
        <v>103</v>
      </c>
      <c r="C3107" s="5">
        <v>45496</v>
      </c>
      <c r="D3107">
        <v>105</v>
      </c>
      <c r="E3107">
        <f>WEEKNUM(Append321[[#This Row],[Date]])</f>
        <v>30</v>
      </c>
    </row>
    <row r="3108" spans="1:5">
      <c r="A3108" t="s">
        <v>112</v>
      </c>
      <c r="B3108" t="s">
        <v>103</v>
      </c>
      <c r="C3108" s="5">
        <v>45497</v>
      </c>
      <c r="D3108">
        <v>110</v>
      </c>
      <c r="E3108">
        <f>WEEKNUM(Append321[[#This Row],[Date]])</f>
        <v>30</v>
      </c>
    </row>
    <row r="3109" spans="1:5">
      <c r="A3109" t="s">
        <v>112</v>
      </c>
      <c r="B3109" t="s">
        <v>103</v>
      </c>
      <c r="C3109" s="5">
        <v>45498</v>
      </c>
      <c r="D3109">
        <v>86</v>
      </c>
      <c r="E3109">
        <f>WEEKNUM(Append321[[#This Row],[Date]])</f>
        <v>30</v>
      </c>
    </row>
    <row r="3110" spans="1:5">
      <c r="A3110" t="s">
        <v>112</v>
      </c>
      <c r="B3110" t="s">
        <v>103</v>
      </c>
      <c r="C3110" s="5">
        <v>45499</v>
      </c>
      <c r="D3110">
        <v>96</v>
      </c>
      <c r="E3110">
        <f>WEEKNUM(Append321[[#This Row],[Date]])</f>
        <v>30</v>
      </c>
    </row>
    <row r="3111" spans="1:5">
      <c r="A3111" t="s">
        <v>112</v>
      </c>
      <c r="B3111" t="s">
        <v>103</v>
      </c>
      <c r="C3111" s="5">
        <v>45500</v>
      </c>
      <c r="D3111">
        <v>99</v>
      </c>
      <c r="E3111">
        <f>WEEKNUM(Append321[[#This Row],[Date]])</f>
        <v>30</v>
      </c>
    </row>
    <row r="3112" spans="1:5">
      <c r="A3112" t="s">
        <v>112</v>
      </c>
      <c r="B3112" t="s">
        <v>103</v>
      </c>
      <c r="C3112" s="5">
        <v>45501</v>
      </c>
      <c r="D3112">
        <v>86</v>
      </c>
      <c r="E3112">
        <f>WEEKNUM(Append321[[#This Row],[Date]])</f>
        <v>31</v>
      </c>
    </row>
    <row r="3113" spans="1:5">
      <c r="A3113" t="s">
        <v>112</v>
      </c>
      <c r="B3113" t="s">
        <v>103</v>
      </c>
      <c r="C3113" s="5">
        <v>45502</v>
      </c>
      <c r="D3113">
        <v>97</v>
      </c>
      <c r="E3113">
        <f>WEEKNUM(Append321[[#This Row],[Date]])</f>
        <v>31</v>
      </c>
    </row>
    <row r="3114" spans="1:5">
      <c r="A3114" t="s">
        <v>112</v>
      </c>
      <c r="B3114" t="s">
        <v>103</v>
      </c>
      <c r="C3114" s="5">
        <v>45503</v>
      </c>
      <c r="D3114">
        <v>109</v>
      </c>
      <c r="E3114">
        <f>WEEKNUM(Append321[[#This Row],[Date]])</f>
        <v>31</v>
      </c>
    </row>
    <row r="3115" spans="1:5">
      <c r="A3115" t="s">
        <v>112</v>
      </c>
      <c r="B3115" t="s">
        <v>103</v>
      </c>
      <c r="C3115" s="5">
        <v>45504</v>
      </c>
      <c r="D3115">
        <v>95</v>
      </c>
      <c r="E3115">
        <f>WEEKNUM(Append321[[#This Row],[Date]])</f>
        <v>31</v>
      </c>
    </row>
    <row r="3116" spans="1:5">
      <c r="A3116" t="s">
        <v>112</v>
      </c>
      <c r="B3116" t="s">
        <v>103</v>
      </c>
      <c r="C3116" s="5">
        <v>45505</v>
      </c>
      <c r="D3116">
        <v>83</v>
      </c>
      <c r="E3116">
        <f>WEEKNUM(Append321[[#This Row],[Date]])</f>
        <v>31</v>
      </c>
    </row>
    <row r="3117" spans="1:5">
      <c r="A3117" t="s">
        <v>112</v>
      </c>
      <c r="B3117" t="s">
        <v>103</v>
      </c>
      <c r="C3117" s="5">
        <v>45506</v>
      </c>
      <c r="D3117">
        <v>109</v>
      </c>
      <c r="E3117">
        <f>WEEKNUM(Append321[[#This Row],[Date]])</f>
        <v>31</v>
      </c>
    </row>
    <row r="3118" spans="1:5">
      <c r="A3118" t="s">
        <v>112</v>
      </c>
      <c r="B3118" t="s">
        <v>103</v>
      </c>
      <c r="C3118" s="5">
        <v>45507</v>
      </c>
      <c r="D3118">
        <v>95</v>
      </c>
      <c r="E3118">
        <f>WEEKNUM(Append321[[#This Row],[Date]])</f>
        <v>31</v>
      </c>
    </row>
    <row r="3119" spans="1:5">
      <c r="A3119" t="s">
        <v>112</v>
      </c>
      <c r="B3119" t="s">
        <v>103</v>
      </c>
      <c r="C3119" s="5">
        <v>45527</v>
      </c>
      <c r="D3119">
        <v>22</v>
      </c>
      <c r="E3119">
        <f>WEEKNUM(Append321[[#This Row],[Date]])</f>
        <v>34</v>
      </c>
    </row>
    <row r="3120" spans="1:5">
      <c r="A3120" t="s">
        <v>112</v>
      </c>
      <c r="B3120" t="s">
        <v>103</v>
      </c>
      <c r="C3120" s="5">
        <v>45528</v>
      </c>
      <c r="D3120">
        <v>20</v>
      </c>
      <c r="E3120">
        <f>WEEKNUM(Append321[[#This Row],[Date]])</f>
        <v>34</v>
      </c>
    </row>
    <row r="3121" spans="1:5">
      <c r="A3121" t="s">
        <v>112</v>
      </c>
      <c r="B3121" t="s">
        <v>103</v>
      </c>
      <c r="C3121" s="5">
        <v>45529</v>
      </c>
      <c r="D3121">
        <v>19</v>
      </c>
      <c r="E3121">
        <f>WEEKNUM(Append321[[#This Row],[Date]])</f>
        <v>35</v>
      </c>
    </row>
    <row r="3122" spans="1:5">
      <c r="A3122" t="s">
        <v>112</v>
      </c>
      <c r="B3122" t="s">
        <v>103</v>
      </c>
      <c r="C3122" s="5">
        <v>45530</v>
      </c>
      <c r="D3122">
        <v>23</v>
      </c>
      <c r="E3122">
        <f>WEEKNUM(Append321[[#This Row],[Date]])</f>
        <v>35</v>
      </c>
    </row>
    <row r="3123" spans="1:5">
      <c r="A3123" t="s">
        <v>112</v>
      </c>
      <c r="B3123" t="s">
        <v>103</v>
      </c>
      <c r="C3123" s="5">
        <v>45531</v>
      </c>
      <c r="D3123">
        <v>19</v>
      </c>
      <c r="E3123">
        <f>WEEKNUM(Append321[[#This Row],[Date]])</f>
        <v>35</v>
      </c>
    </row>
    <row r="3124" spans="1:5">
      <c r="A3124" t="s">
        <v>112</v>
      </c>
      <c r="B3124" t="s">
        <v>103</v>
      </c>
      <c r="C3124" s="5">
        <v>45532</v>
      </c>
      <c r="D3124">
        <v>23</v>
      </c>
      <c r="E3124">
        <f>WEEKNUM(Append321[[#This Row],[Date]])</f>
        <v>35</v>
      </c>
    </row>
    <row r="3125" spans="1:5">
      <c r="A3125" t="s">
        <v>112</v>
      </c>
      <c r="B3125" t="s">
        <v>103</v>
      </c>
      <c r="C3125" s="5">
        <v>45533</v>
      </c>
      <c r="D3125">
        <v>18</v>
      </c>
      <c r="E3125">
        <f>WEEKNUM(Append321[[#This Row],[Date]])</f>
        <v>35</v>
      </c>
    </row>
    <row r="3126" spans="1:5">
      <c r="A3126" t="s">
        <v>112</v>
      </c>
      <c r="B3126" t="s">
        <v>103</v>
      </c>
      <c r="C3126" s="5">
        <v>45534</v>
      </c>
      <c r="D3126">
        <v>16</v>
      </c>
      <c r="E3126">
        <f>WEEKNUM(Append321[[#This Row],[Date]])</f>
        <v>35</v>
      </c>
    </row>
    <row r="3127" spans="1:5">
      <c r="A3127" t="s">
        <v>112</v>
      </c>
      <c r="B3127" t="s">
        <v>103</v>
      </c>
      <c r="C3127" s="5">
        <v>45535</v>
      </c>
      <c r="D3127">
        <v>23</v>
      </c>
      <c r="E3127">
        <f>WEEKNUM(Append321[[#This Row],[Date]])</f>
        <v>35</v>
      </c>
    </row>
    <row r="3128" spans="1:5">
      <c r="A3128" t="s">
        <v>112</v>
      </c>
      <c r="B3128" t="s">
        <v>104</v>
      </c>
      <c r="C3128" s="5">
        <v>45486</v>
      </c>
      <c r="D3128">
        <v>222</v>
      </c>
      <c r="E3128">
        <f>WEEKNUM(Append321[[#This Row],[Date]])</f>
        <v>28</v>
      </c>
    </row>
    <row r="3129" spans="1:5">
      <c r="A3129" t="s">
        <v>112</v>
      </c>
      <c r="B3129" t="s">
        <v>104</v>
      </c>
      <c r="C3129" s="5">
        <v>45487</v>
      </c>
      <c r="D3129">
        <v>214</v>
      </c>
      <c r="E3129">
        <f>WEEKNUM(Append321[[#This Row],[Date]])</f>
        <v>29</v>
      </c>
    </row>
    <row r="3130" spans="1:5">
      <c r="A3130" t="s">
        <v>112</v>
      </c>
      <c r="B3130" t="s">
        <v>104</v>
      </c>
      <c r="C3130" s="5">
        <v>45488</v>
      </c>
      <c r="D3130">
        <v>226</v>
      </c>
      <c r="E3130">
        <f>WEEKNUM(Append321[[#This Row],[Date]])</f>
        <v>29</v>
      </c>
    </row>
    <row r="3131" spans="1:5">
      <c r="A3131" t="s">
        <v>112</v>
      </c>
      <c r="B3131" t="s">
        <v>104</v>
      </c>
      <c r="C3131" s="5">
        <v>45489</v>
      </c>
      <c r="D3131">
        <v>276</v>
      </c>
      <c r="E3131">
        <f>WEEKNUM(Append321[[#This Row],[Date]])</f>
        <v>29</v>
      </c>
    </row>
    <row r="3132" spans="1:5">
      <c r="A3132" t="s">
        <v>112</v>
      </c>
      <c r="B3132" t="s">
        <v>104</v>
      </c>
      <c r="C3132" s="5">
        <v>45490</v>
      </c>
      <c r="D3132">
        <v>214</v>
      </c>
      <c r="E3132">
        <f>WEEKNUM(Append321[[#This Row],[Date]])</f>
        <v>29</v>
      </c>
    </row>
    <row r="3133" spans="1:5">
      <c r="A3133" t="s">
        <v>112</v>
      </c>
      <c r="B3133" t="s">
        <v>104</v>
      </c>
      <c r="C3133" s="5">
        <v>45491</v>
      </c>
      <c r="D3133">
        <v>190</v>
      </c>
      <c r="E3133">
        <f>WEEKNUM(Append321[[#This Row],[Date]])</f>
        <v>29</v>
      </c>
    </row>
    <row r="3134" spans="1:5">
      <c r="A3134" t="s">
        <v>112</v>
      </c>
      <c r="B3134" t="s">
        <v>104</v>
      </c>
      <c r="C3134" s="5">
        <v>45492</v>
      </c>
      <c r="D3134">
        <v>193</v>
      </c>
      <c r="E3134">
        <f>WEEKNUM(Append321[[#This Row],[Date]])</f>
        <v>29</v>
      </c>
    </row>
    <row r="3135" spans="1:5">
      <c r="A3135" t="s">
        <v>112</v>
      </c>
      <c r="B3135" t="s">
        <v>104</v>
      </c>
      <c r="C3135" s="5">
        <v>45493</v>
      </c>
      <c r="D3135">
        <v>274</v>
      </c>
      <c r="E3135">
        <f>WEEKNUM(Append321[[#This Row],[Date]])</f>
        <v>29</v>
      </c>
    </row>
    <row r="3136" spans="1:5">
      <c r="A3136" t="s">
        <v>112</v>
      </c>
      <c r="B3136" t="s">
        <v>104</v>
      </c>
      <c r="C3136" s="5">
        <v>45494</v>
      </c>
      <c r="D3136">
        <v>223</v>
      </c>
      <c r="E3136">
        <f>WEEKNUM(Append321[[#This Row],[Date]])</f>
        <v>30</v>
      </c>
    </row>
    <row r="3137" spans="1:5">
      <c r="A3137" t="s">
        <v>112</v>
      </c>
      <c r="B3137" t="s">
        <v>104</v>
      </c>
      <c r="C3137" s="5">
        <v>45495</v>
      </c>
      <c r="D3137">
        <v>244</v>
      </c>
      <c r="E3137">
        <f>WEEKNUM(Append321[[#This Row],[Date]])</f>
        <v>30</v>
      </c>
    </row>
    <row r="3138" spans="1:5">
      <c r="A3138" t="s">
        <v>112</v>
      </c>
      <c r="B3138" t="s">
        <v>104</v>
      </c>
      <c r="C3138" s="5">
        <v>45496</v>
      </c>
      <c r="D3138">
        <v>247</v>
      </c>
      <c r="E3138">
        <f>WEEKNUM(Append321[[#This Row],[Date]])</f>
        <v>30</v>
      </c>
    </row>
    <row r="3139" spans="1:5">
      <c r="A3139" t="s">
        <v>112</v>
      </c>
      <c r="B3139" t="s">
        <v>104</v>
      </c>
      <c r="C3139" s="5">
        <v>45497</v>
      </c>
      <c r="D3139">
        <v>229</v>
      </c>
      <c r="E3139">
        <f>WEEKNUM(Append321[[#This Row],[Date]])</f>
        <v>30</v>
      </c>
    </row>
    <row r="3140" spans="1:5">
      <c r="A3140" t="s">
        <v>112</v>
      </c>
      <c r="B3140" t="s">
        <v>104</v>
      </c>
      <c r="C3140" s="5">
        <v>45498</v>
      </c>
      <c r="D3140">
        <v>239</v>
      </c>
      <c r="E3140">
        <f>WEEKNUM(Append321[[#This Row],[Date]])</f>
        <v>30</v>
      </c>
    </row>
    <row r="3141" spans="1:5">
      <c r="A3141" t="s">
        <v>112</v>
      </c>
      <c r="B3141" t="s">
        <v>104</v>
      </c>
      <c r="C3141" s="5">
        <v>45499</v>
      </c>
      <c r="D3141">
        <v>213</v>
      </c>
      <c r="E3141">
        <f>WEEKNUM(Append321[[#This Row],[Date]])</f>
        <v>30</v>
      </c>
    </row>
    <row r="3142" spans="1:5">
      <c r="A3142" t="s">
        <v>112</v>
      </c>
      <c r="B3142" t="s">
        <v>104</v>
      </c>
      <c r="C3142" s="5">
        <v>45500</v>
      </c>
      <c r="D3142">
        <v>245</v>
      </c>
      <c r="E3142">
        <f>WEEKNUM(Append321[[#This Row],[Date]])</f>
        <v>30</v>
      </c>
    </row>
    <row r="3143" spans="1:5">
      <c r="A3143" t="s">
        <v>112</v>
      </c>
      <c r="B3143" t="s">
        <v>104</v>
      </c>
      <c r="C3143" s="5">
        <v>45501</v>
      </c>
      <c r="D3143">
        <v>210</v>
      </c>
      <c r="E3143">
        <f>WEEKNUM(Append321[[#This Row],[Date]])</f>
        <v>31</v>
      </c>
    </row>
    <row r="3144" spans="1:5">
      <c r="A3144" t="s">
        <v>112</v>
      </c>
      <c r="B3144" t="s">
        <v>104</v>
      </c>
      <c r="C3144" s="5">
        <v>45502</v>
      </c>
      <c r="D3144">
        <v>254</v>
      </c>
      <c r="E3144">
        <f>WEEKNUM(Append321[[#This Row],[Date]])</f>
        <v>31</v>
      </c>
    </row>
    <row r="3145" spans="1:5">
      <c r="A3145" t="s">
        <v>112</v>
      </c>
      <c r="B3145" t="s">
        <v>104</v>
      </c>
      <c r="C3145" s="5">
        <v>45503</v>
      </c>
      <c r="D3145">
        <v>234</v>
      </c>
      <c r="E3145">
        <f>WEEKNUM(Append321[[#This Row],[Date]])</f>
        <v>31</v>
      </c>
    </row>
    <row r="3146" spans="1:5">
      <c r="A3146" t="s">
        <v>112</v>
      </c>
      <c r="B3146" t="s">
        <v>104</v>
      </c>
      <c r="C3146" s="5">
        <v>45504</v>
      </c>
      <c r="D3146">
        <v>228</v>
      </c>
      <c r="E3146">
        <f>WEEKNUM(Append321[[#This Row],[Date]])</f>
        <v>31</v>
      </c>
    </row>
    <row r="3147" spans="1:5">
      <c r="A3147" t="s">
        <v>112</v>
      </c>
      <c r="B3147" t="s">
        <v>104</v>
      </c>
      <c r="C3147" s="5">
        <v>45505</v>
      </c>
      <c r="D3147">
        <v>246</v>
      </c>
      <c r="E3147">
        <f>WEEKNUM(Append321[[#This Row],[Date]])</f>
        <v>31</v>
      </c>
    </row>
    <row r="3148" spans="1:5">
      <c r="A3148" t="s">
        <v>112</v>
      </c>
      <c r="B3148" t="s">
        <v>104</v>
      </c>
      <c r="C3148" s="5">
        <v>45506</v>
      </c>
      <c r="D3148">
        <v>219</v>
      </c>
      <c r="E3148">
        <f>WEEKNUM(Append321[[#This Row],[Date]])</f>
        <v>31</v>
      </c>
    </row>
    <row r="3149" spans="1:5">
      <c r="A3149" t="s">
        <v>112</v>
      </c>
      <c r="B3149" t="s">
        <v>104</v>
      </c>
      <c r="C3149" s="5">
        <v>45507</v>
      </c>
      <c r="D3149">
        <v>216</v>
      </c>
      <c r="E3149">
        <f>WEEKNUM(Append321[[#This Row],[Date]])</f>
        <v>31</v>
      </c>
    </row>
    <row r="3150" spans="1:5">
      <c r="A3150" t="s">
        <v>112</v>
      </c>
      <c r="B3150" t="s">
        <v>104</v>
      </c>
      <c r="C3150" s="5">
        <v>45527</v>
      </c>
      <c r="D3150">
        <v>136</v>
      </c>
      <c r="E3150">
        <f>WEEKNUM(Append321[[#This Row],[Date]])</f>
        <v>34</v>
      </c>
    </row>
    <row r="3151" spans="1:5">
      <c r="A3151" t="s">
        <v>112</v>
      </c>
      <c r="B3151" t="s">
        <v>104</v>
      </c>
      <c r="C3151" s="5">
        <v>45528</v>
      </c>
      <c r="D3151">
        <v>146</v>
      </c>
      <c r="E3151">
        <f>WEEKNUM(Append321[[#This Row],[Date]])</f>
        <v>34</v>
      </c>
    </row>
    <row r="3152" spans="1:5">
      <c r="A3152" t="s">
        <v>112</v>
      </c>
      <c r="B3152" t="s">
        <v>104</v>
      </c>
      <c r="C3152" s="5">
        <v>45529</v>
      </c>
      <c r="D3152">
        <v>111</v>
      </c>
      <c r="E3152">
        <f>WEEKNUM(Append321[[#This Row],[Date]])</f>
        <v>35</v>
      </c>
    </row>
    <row r="3153" spans="1:5">
      <c r="A3153" t="s">
        <v>112</v>
      </c>
      <c r="B3153" t="s">
        <v>104</v>
      </c>
      <c r="C3153" s="5">
        <v>45530</v>
      </c>
      <c r="D3153">
        <v>130</v>
      </c>
      <c r="E3153">
        <f>WEEKNUM(Append321[[#This Row],[Date]])</f>
        <v>35</v>
      </c>
    </row>
    <row r="3154" spans="1:5">
      <c r="A3154" t="s">
        <v>112</v>
      </c>
      <c r="B3154" t="s">
        <v>104</v>
      </c>
      <c r="C3154" s="5">
        <v>45531</v>
      </c>
      <c r="D3154">
        <v>132</v>
      </c>
      <c r="E3154">
        <f>WEEKNUM(Append321[[#This Row],[Date]])</f>
        <v>35</v>
      </c>
    </row>
    <row r="3155" spans="1:5">
      <c r="A3155" t="s">
        <v>112</v>
      </c>
      <c r="B3155" t="s">
        <v>104</v>
      </c>
      <c r="C3155" s="5">
        <v>45532</v>
      </c>
      <c r="D3155">
        <v>106</v>
      </c>
      <c r="E3155">
        <f>WEEKNUM(Append321[[#This Row],[Date]])</f>
        <v>35</v>
      </c>
    </row>
    <row r="3156" spans="1:5">
      <c r="A3156" t="s">
        <v>112</v>
      </c>
      <c r="B3156" t="s">
        <v>104</v>
      </c>
      <c r="C3156" s="5">
        <v>45533</v>
      </c>
      <c r="D3156">
        <v>106</v>
      </c>
      <c r="E3156">
        <f>WEEKNUM(Append321[[#This Row],[Date]])</f>
        <v>35</v>
      </c>
    </row>
    <row r="3157" spans="1:5">
      <c r="A3157" t="s">
        <v>112</v>
      </c>
      <c r="B3157" t="s">
        <v>104</v>
      </c>
      <c r="C3157" s="5">
        <v>45534</v>
      </c>
      <c r="D3157">
        <v>117</v>
      </c>
      <c r="E3157">
        <f>WEEKNUM(Append321[[#This Row],[Date]])</f>
        <v>35</v>
      </c>
    </row>
    <row r="3158" spans="1:5">
      <c r="A3158" t="s">
        <v>112</v>
      </c>
      <c r="B3158" t="s">
        <v>104</v>
      </c>
      <c r="C3158" s="5">
        <v>45535</v>
      </c>
      <c r="D3158">
        <v>127</v>
      </c>
      <c r="E3158">
        <f>WEEKNUM(Append321[[#This Row],[Date]])</f>
        <v>35</v>
      </c>
    </row>
    <row r="3159" spans="1:5">
      <c r="A3159" t="s">
        <v>112</v>
      </c>
      <c r="B3159" t="s">
        <v>105</v>
      </c>
      <c r="C3159" s="5">
        <v>45527</v>
      </c>
      <c r="D3159">
        <v>50</v>
      </c>
      <c r="E3159">
        <f>WEEKNUM(Append321[[#This Row],[Date]])</f>
        <v>34</v>
      </c>
    </row>
    <row r="3160" spans="1:5">
      <c r="A3160" t="s">
        <v>112</v>
      </c>
      <c r="B3160" t="s">
        <v>105</v>
      </c>
      <c r="C3160" s="5">
        <v>45528</v>
      </c>
      <c r="D3160">
        <v>60</v>
      </c>
      <c r="E3160">
        <f>WEEKNUM(Append321[[#This Row],[Date]])</f>
        <v>34</v>
      </c>
    </row>
    <row r="3161" spans="1:5">
      <c r="A3161" t="s">
        <v>112</v>
      </c>
      <c r="B3161" t="s">
        <v>105</v>
      </c>
      <c r="C3161" s="5">
        <v>45529</v>
      </c>
      <c r="D3161">
        <v>50</v>
      </c>
      <c r="E3161">
        <f>WEEKNUM(Append321[[#This Row],[Date]])</f>
        <v>35</v>
      </c>
    </row>
    <row r="3162" spans="1:5">
      <c r="A3162" t="s">
        <v>112</v>
      </c>
      <c r="B3162" t="s">
        <v>105</v>
      </c>
      <c r="C3162" s="5">
        <v>45530</v>
      </c>
      <c r="D3162">
        <v>49</v>
      </c>
      <c r="E3162">
        <f>WEEKNUM(Append321[[#This Row],[Date]])</f>
        <v>35</v>
      </c>
    </row>
    <row r="3163" spans="1:5">
      <c r="A3163" t="s">
        <v>112</v>
      </c>
      <c r="B3163" t="s">
        <v>105</v>
      </c>
      <c r="C3163" s="5">
        <v>45531</v>
      </c>
      <c r="D3163">
        <v>44</v>
      </c>
      <c r="E3163">
        <f>WEEKNUM(Append321[[#This Row],[Date]])</f>
        <v>35</v>
      </c>
    </row>
    <row r="3164" spans="1:5">
      <c r="A3164" t="s">
        <v>112</v>
      </c>
      <c r="B3164" t="s">
        <v>105</v>
      </c>
      <c r="C3164" s="5">
        <v>45532</v>
      </c>
      <c r="D3164">
        <v>54</v>
      </c>
      <c r="E3164">
        <f>WEEKNUM(Append321[[#This Row],[Date]])</f>
        <v>35</v>
      </c>
    </row>
    <row r="3165" spans="1:5">
      <c r="A3165" t="s">
        <v>112</v>
      </c>
      <c r="B3165" t="s">
        <v>105</v>
      </c>
      <c r="C3165" s="5">
        <v>45533</v>
      </c>
      <c r="D3165">
        <v>51</v>
      </c>
      <c r="E3165">
        <f>WEEKNUM(Append321[[#This Row],[Date]])</f>
        <v>35</v>
      </c>
    </row>
    <row r="3166" spans="1:5">
      <c r="A3166" t="s">
        <v>112</v>
      </c>
      <c r="B3166" t="s">
        <v>105</v>
      </c>
      <c r="C3166" s="5">
        <v>45534</v>
      </c>
      <c r="D3166">
        <v>57</v>
      </c>
      <c r="E3166">
        <f>WEEKNUM(Append321[[#This Row],[Date]])</f>
        <v>35</v>
      </c>
    </row>
    <row r="3167" spans="1:5">
      <c r="A3167" t="s">
        <v>112</v>
      </c>
      <c r="B3167" t="s">
        <v>105</v>
      </c>
      <c r="C3167" s="5">
        <v>45535</v>
      </c>
      <c r="D3167">
        <v>50</v>
      </c>
      <c r="E3167">
        <f>WEEKNUM(Append321[[#This Row],[Date]])</f>
        <v>35</v>
      </c>
    </row>
    <row r="3168" spans="1:5">
      <c r="A3168" t="s">
        <v>112</v>
      </c>
      <c r="B3168" t="s">
        <v>106</v>
      </c>
      <c r="C3168" s="5">
        <v>45486</v>
      </c>
      <c r="D3168">
        <v>209</v>
      </c>
      <c r="E3168">
        <f>WEEKNUM(Append321[[#This Row],[Date]])</f>
        <v>28</v>
      </c>
    </row>
    <row r="3169" spans="1:5">
      <c r="A3169" t="s">
        <v>112</v>
      </c>
      <c r="B3169" t="s">
        <v>106</v>
      </c>
      <c r="C3169" s="5">
        <v>45487</v>
      </c>
      <c r="D3169">
        <v>147</v>
      </c>
      <c r="E3169">
        <f>WEEKNUM(Append321[[#This Row],[Date]])</f>
        <v>29</v>
      </c>
    </row>
    <row r="3170" spans="1:5">
      <c r="A3170" t="s">
        <v>112</v>
      </c>
      <c r="B3170" t="s">
        <v>106</v>
      </c>
      <c r="C3170" s="5">
        <v>45488</v>
      </c>
      <c r="D3170">
        <v>176</v>
      </c>
      <c r="E3170">
        <f>WEEKNUM(Append321[[#This Row],[Date]])</f>
        <v>29</v>
      </c>
    </row>
    <row r="3171" spans="1:5">
      <c r="A3171" t="s">
        <v>112</v>
      </c>
      <c r="B3171" t="s">
        <v>106</v>
      </c>
      <c r="C3171" s="5">
        <v>45489</v>
      </c>
      <c r="D3171">
        <v>166</v>
      </c>
      <c r="E3171">
        <f>WEEKNUM(Append321[[#This Row],[Date]])</f>
        <v>29</v>
      </c>
    </row>
    <row r="3172" spans="1:5">
      <c r="A3172" t="s">
        <v>112</v>
      </c>
      <c r="B3172" t="s">
        <v>106</v>
      </c>
      <c r="C3172" s="5">
        <v>45490</v>
      </c>
      <c r="D3172">
        <v>190</v>
      </c>
      <c r="E3172">
        <f>WEEKNUM(Append321[[#This Row],[Date]])</f>
        <v>29</v>
      </c>
    </row>
    <row r="3173" spans="1:5">
      <c r="A3173" t="s">
        <v>112</v>
      </c>
      <c r="B3173" t="s">
        <v>106</v>
      </c>
      <c r="C3173" s="5">
        <v>45491</v>
      </c>
      <c r="D3173">
        <v>189</v>
      </c>
      <c r="E3173">
        <f>WEEKNUM(Append321[[#This Row],[Date]])</f>
        <v>29</v>
      </c>
    </row>
    <row r="3174" spans="1:5">
      <c r="A3174" t="s">
        <v>112</v>
      </c>
      <c r="B3174" t="s">
        <v>106</v>
      </c>
      <c r="C3174" s="5">
        <v>45492</v>
      </c>
      <c r="D3174">
        <v>164</v>
      </c>
      <c r="E3174">
        <f>WEEKNUM(Append321[[#This Row],[Date]])</f>
        <v>29</v>
      </c>
    </row>
    <row r="3175" spans="1:5">
      <c r="A3175" t="s">
        <v>112</v>
      </c>
      <c r="B3175" t="s">
        <v>106</v>
      </c>
      <c r="C3175" s="5">
        <v>45493</v>
      </c>
      <c r="D3175">
        <v>219</v>
      </c>
      <c r="E3175">
        <f>WEEKNUM(Append321[[#This Row],[Date]])</f>
        <v>29</v>
      </c>
    </row>
    <row r="3176" spans="1:5">
      <c r="A3176" t="s">
        <v>112</v>
      </c>
      <c r="B3176" t="s">
        <v>106</v>
      </c>
      <c r="C3176" s="5">
        <v>45494</v>
      </c>
      <c r="D3176">
        <v>158</v>
      </c>
      <c r="E3176">
        <f>WEEKNUM(Append321[[#This Row],[Date]])</f>
        <v>30</v>
      </c>
    </row>
    <row r="3177" spans="1:5">
      <c r="A3177" t="s">
        <v>112</v>
      </c>
      <c r="B3177" t="s">
        <v>106</v>
      </c>
      <c r="C3177" s="5">
        <v>45495</v>
      </c>
      <c r="D3177">
        <v>180</v>
      </c>
      <c r="E3177">
        <f>WEEKNUM(Append321[[#This Row],[Date]])</f>
        <v>30</v>
      </c>
    </row>
    <row r="3178" spans="1:5">
      <c r="A3178" t="s">
        <v>112</v>
      </c>
      <c r="B3178" t="s">
        <v>106</v>
      </c>
      <c r="C3178" s="5">
        <v>45496</v>
      </c>
      <c r="D3178">
        <v>166</v>
      </c>
      <c r="E3178">
        <f>WEEKNUM(Append321[[#This Row],[Date]])</f>
        <v>30</v>
      </c>
    </row>
    <row r="3179" spans="1:5">
      <c r="A3179" t="s">
        <v>112</v>
      </c>
      <c r="B3179" t="s">
        <v>106</v>
      </c>
      <c r="C3179" s="5">
        <v>45497</v>
      </c>
      <c r="D3179">
        <v>147</v>
      </c>
      <c r="E3179">
        <f>WEEKNUM(Append321[[#This Row],[Date]])</f>
        <v>30</v>
      </c>
    </row>
    <row r="3180" spans="1:5">
      <c r="A3180" t="s">
        <v>112</v>
      </c>
      <c r="B3180" t="s">
        <v>106</v>
      </c>
      <c r="C3180" s="5">
        <v>45498</v>
      </c>
      <c r="D3180">
        <v>162</v>
      </c>
      <c r="E3180">
        <f>WEEKNUM(Append321[[#This Row],[Date]])</f>
        <v>30</v>
      </c>
    </row>
    <row r="3181" spans="1:5">
      <c r="A3181" t="s">
        <v>112</v>
      </c>
      <c r="B3181" t="s">
        <v>106</v>
      </c>
      <c r="C3181" s="5">
        <v>45499</v>
      </c>
      <c r="D3181">
        <v>157</v>
      </c>
      <c r="E3181">
        <f>WEEKNUM(Append321[[#This Row],[Date]])</f>
        <v>30</v>
      </c>
    </row>
    <row r="3182" spans="1:5">
      <c r="A3182" t="s">
        <v>112</v>
      </c>
      <c r="B3182" t="s">
        <v>106</v>
      </c>
      <c r="C3182" s="5">
        <v>45500</v>
      </c>
      <c r="D3182">
        <v>187</v>
      </c>
      <c r="E3182">
        <f>WEEKNUM(Append321[[#This Row],[Date]])</f>
        <v>30</v>
      </c>
    </row>
    <row r="3183" spans="1:5">
      <c r="A3183" t="s">
        <v>112</v>
      </c>
      <c r="B3183" t="s">
        <v>106</v>
      </c>
      <c r="C3183" s="5">
        <v>45501</v>
      </c>
      <c r="D3183">
        <v>154</v>
      </c>
      <c r="E3183">
        <f>WEEKNUM(Append321[[#This Row],[Date]])</f>
        <v>31</v>
      </c>
    </row>
    <row r="3184" spans="1:5">
      <c r="A3184" t="s">
        <v>112</v>
      </c>
      <c r="B3184" t="s">
        <v>106</v>
      </c>
      <c r="C3184" s="5">
        <v>45502</v>
      </c>
      <c r="D3184">
        <v>178</v>
      </c>
      <c r="E3184">
        <f>WEEKNUM(Append321[[#This Row],[Date]])</f>
        <v>31</v>
      </c>
    </row>
    <row r="3185" spans="1:5">
      <c r="A3185" t="s">
        <v>112</v>
      </c>
      <c r="B3185" t="s">
        <v>106</v>
      </c>
      <c r="C3185" s="5">
        <v>45503</v>
      </c>
      <c r="D3185">
        <v>191</v>
      </c>
      <c r="E3185">
        <f>WEEKNUM(Append321[[#This Row],[Date]])</f>
        <v>31</v>
      </c>
    </row>
    <row r="3186" spans="1:5">
      <c r="A3186" t="s">
        <v>112</v>
      </c>
      <c r="B3186" t="s">
        <v>106</v>
      </c>
      <c r="C3186" s="5">
        <v>45504</v>
      </c>
      <c r="D3186">
        <v>152</v>
      </c>
      <c r="E3186">
        <f>WEEKNUM(Append321[[#This Row],[Date]])</f>
        <v>31</v>
      </c>
    </row>
    <row r="3187" spans="1:5">
      <c r="A3187" t="s">
        <v>112</v>
      </c>
      <c r="B3187" t="s">
        <v>106</v>
      </c>
      <c r="C3187" s="5">
        <v>45505</v>
      </c>
      <c r="D3187">
        <v>183</v>
      </c>
      <c r="E3187">
        <f>WEEKNUM(Append321[[#This Row],[Date]])</f>
        <v>31</v>
      </c>
    </row>
    <row r="3188" spans="1:5">
      <c r="A3188" t="s">
        <v>112</v>
      </c>
      <c r="B3188" t="s">
        <v>106</v>
      </c>
      <c r="C3188" s="5">
        <v>45506</v>
      </c>
      <c r="D3188">
        <v>188</v>
      </c>
      <c r="E3188">
        <f>WEEKNUM(Append321[[#This Row],[Date]])</f>
        <v>31</v>
      </c>
    </row>
    <row r="3189" spans="1:5">
      <c r="A3189" t="s">
        <v>112</v>
      </c>
      <c r="B3189" t="s">
        <v>106</v>
      </c>
      <c r="C3189" s="5">
        <v>45507</v>
      </c>
      <c r="D3189">
        <v>195</v>
      </c>
      <c r="E3189">
        <f>WEEKNUM(Append321[[#This Row],[Date]])</f>
        <v>31</v>
      </c>
    </row>
    <row r="3190" spans="1:5">
      <c r="A3190" t="s">
        <v>112</v>
      </c>
      <c r="B3190" t="s">
        <v>107</v>
      </c>
      <c r="C3190" s="5">
        <v>45527</v>
      </c>
      <c r="D3190">
        <v>28</v>
      </c>
      <c r="E3190">
        <f>WEEKNUM(Append321[[#This Row],[Date]])</f>
        <v>34</v>
      </c>
    </row>
    <row r="3191" spans="1:5">
      <c r="A3191" t="s">
        <v>112</v>
      </c>
      <c r="B3191" t="s">
        <v>107</v>
      </c>
      <c r="C3191" s="5">
        <v>45528</v>
      </c>
      <c r="D3191">
        <v>26</v>
      </c>
      <c r="E3191">
        <f>WEEKNUM(Append321[[#This Row],[Date]])</f>
        <v>34</v>
      </c>
    </row>
    <row r="3192" spans="1:5">
      <c r="A3192" t="s">
        <v>112</v>
      </c>
      <c r="B3192" t="s">
        <v>107</v>
      </c>
      <c r="C3192" s="5">
        <v>45529</v>
      </c>
      <c r="D3192">
        <v>22</v>
      </c>
      <c r="E3192">
        <f>WEEKNUM(Append321[[#This Row],[Date]])</f>
        <v>35</v>
      </c>
    </row>
    <row r="3193" spans="1:5">
      <c r="A3193" t="s">
        <v>112</v>
      </c>
      <c r="B3193" t="s">
        <v>107</v>
      </c>
      <c r="C3193" s="5">
        <v>45530</v>
      </c>
      <c r="D3193">
        <v>19</v>
      </c>
      <c r="E3193">
        <f>WEEKNUM(Append321[[#This Row],[Date]])</f>
        <v>35</v>
      </c>
    </row>
    <row r="3194" spans="1:5">
      <c r="A3194" t="s">
        <v>112</v>
      </c>
      <c r="B3194" t="s">
        <v>107</v>
      </c>
      <c r="C3194" s="5">
        <v>45531</v>
      </c>
      <c r="D3194">
        <v>30</v>
      </c>
      <c r="E3194">
        <f>WEEKNUM(Append321[[#This Row],[Date]])</f>
        <v>35</v>
      </c>
    </row>
    <row r="3195" spans="1:5">
      <c r="A3195" t="s">
        <v>112</v>
      </c>
      <c r="B3195" t="s">
        <v>107</v>
      </c>
      <c r="C3195" s="5">
        <v>45532</v>
      </c>
      <c r="D3195">
        <v>25</v>
      </c>
      <c r="E3195">
        <f>WEEKNUM(Append321[[#This Row],[Date]])</f>
        <v>35</v>
      </c>
    </row>
    <row r="3196" spans="1:5">
      <c r="A3196" t="s">
        <v>112</v>
      </c>
      <c r="B3196" t="s">
        <v>107</v>
      </c>
      <c r="C3196" s="5">
        <v>45533</v>
      </c>
      <c r="D3196">
        <v>28</v>
      </c>
      <c r="E3196">
        <f>WEEKNUM(Append321[[#This Row],[Date]])</f>
        <v>35</v>
      </c>
    </row>
    <row r="3197" spans="1:5">
      <c r="A3197" t="s">
        <v>112</v>
      </c>
      <c r="B3197" t="s">
        <v>107</v>
      </c>
      <c r="C3197" s="5">
        <v>45534</v>
      </c>
      <c r="D3197">
        <v>30</v>
      </c>
      <c r="E3197">
        <f>WEEKNUM(Append321[[#This Row],[Date]])</f>
        <v>35</v>
      </c>
    </row>
    <row r="3198" spans="1:5">
      <c r="A3198" t="s">
        <v>112</v>
      </c>
      <c r="B3198" t="s">
        <v>107</v>
      </c>
      <c r="C3198" s="5">
        <v>45535</v>
      </c>
      <c r="D3198">
        <v>28</v>
      </c>
      <c r="E3198">
        <f>WEEKNUM(Append321[[#This Row],[Date]])</f>
        <v>35</v>
      </c>
    </row>
    <row r="3199" spans="1:5">
      <c r="A3199" t="s">
        <v>112</v>
      </c>
      <c r="B3199" t="s">
        <v>108</v>
      </c>
      <c r="C3199" s="5">
        <v>45527</v>
      </c>
      <c r="D3199">
        <v>52</v>
      </c>
      <c r="E3199">
        <f>WEEKNUM(Append321[[#This Row],[Date]])</f>
        <v>34</v>
      </c>
    </row>
    <row r="3200" spans="1:5">
      <c r="A3200" t="s">
        <v>112</v>
      </c>
      <c r="B3200" t="s">
        <v>108</v>
      </c>
      <c r="C3200" s="5">
        <v>45528</v>
      </c>
      <c r="D3200">
        <v>49</v>
      </c>
      <c r="E3200">
        <f>WEEKNUM(Append321[[#This Row],[Date]])</f>
        <v>34</v>
      </c>
    </row>
    <row r="3201" spans="1:5">
      <c r="A3201" t="s">
        <v>112</v>
      </c>
      <c r="B3201" t="s">
        <v>108</v>
      </c>
      <c r="C3201" s="5">
        <v>45529</v>
      </c>
      <c r="D3201">
        <v>61</v>
      </c>
      <c r="E3201">
        <f>WEEKNUM(Append321[[#This Row],[Date]])</f>
        <v>35</v>
      </c>
    </row>
    <row r="3202" spans="1:5">
      <c r="A3202" t="s">
        <v>112</v>
      </c>
      <c r="B3202" t="s">
        <v>108</v>
      </c>
      <c r="C3202" s="5">
        <v>45530</v>
      </c>
      <c r="D3202">
        <v>63</v>
      </c>
      <c r="E3202">
        <f>WEEKNUM(Append321[[#This Row],[Date]])</f>
        <v>35</v>
      </c>
    </row>
    <row r="3203" spans="1:5">
      <c r="A3203" t="s">
        <v>112</v>
      </c>
      <c r="B3203" t="s">
        <v>108</v>
      </c>
      <c r="C3203" s="5">
        <v>45531</v>
      </c>
      <c r="D3203">
        <v>60</v>
      </c>
      <c r="E3203">
        <f>WEEKNUM(Append321[[#This Row],[Date]])</f>
        <v>35</v>
      </c>
    </row>
    <row r="3204" spans="1:5">
      <c r="A3204" t="s">
        <v>112</v>
      </c>
      <c r="B3204" t="s">
        <v>108</v>
      </c>
      <c r="C3204" s="5">
        <v>45532</v>
      </c>
      <c r="D3204">
        <v>58</v>
      </c>
      <c r="E3204">
        <f>WEEKNUM(Append321[[#This Row],[Date]])</f>
        <v>35</v>
      </c>
    </row>
    <row r="3205" spans="1:5">
      <c r="A3205" t="s">
        <v>112</v>
      </c>
      <c r="B3205" t="s">
        <v>108</v>
      </c>
      <c r="C3205" s="5">
        <v>45533</v>
      </c>
      <c r="D3205">
        <v>38</v>
      </c>
      <c r="E3205">
        <f>WEEKNUM(Append321[[#This Row],[Date]])</f>
        <v>35</v>
      </c>
    </row>
    <row r="3206" spans="1:5">
      <c r="A3206" t="s">
        <v>112</v>
      </c>
      <c r="B3206" t="s">
        <v>108</v>
      </c>
      <c r="C3206" s="5">
        <v>45534</v>
      </c>
      <c r="D3206">
        <v>40</v>
      </c>
      <c r="E3206">
        <f>WEEKNUM(Append321[[#This Row],[Date]])</f>
        <v>35</v>
      </c>
    </row>
    <row r="3207" spans="1:5">
      <c r="A3207" t="s">
        <v>112</v>
      </c>
      <c r="B3207" t="s">
        <v>108</v>
      </c>
      <c r="C3207" s="5">
        <v>45535</v>
      </c>
      <c r="D3207">
        <v>43</v>
      </c>
      <c r="E3207">
        <f>WEEKNUM(Append321[[#This Row],[Date]])</f>
        <v>35</v>
      </c>
    </row>
    <row r="3208" spans="1:5">
      <c r="A3208" t="s">
        <v>112</v>
      </c>
      <c r="B3208" t="s">
        <v>109</v>
      </c>
      <c r="C3208" s="5">
        <v>45527</v>
      </c>
      <c r="D3208">
        <v>28</v>
      </c>
      <c r="E3208">
        <f>WEEKNUM(Append321[[#This Row],[Date]])</f>
        <v>34</v>
      </c>
    </row>
    <row r="3209" spans="1:5">
      <c r="A3209" t="s">
        <v>112</v>
      </c>
      <c r="B3209" t="s">
        <v>109</v>
      </c>
      <c r="C3209" s="5">
        <v>45528</v>
      </c>
      <c r="D3209">
        <v>26</v>
      </c>
      <c r="E3209">
        <f>WEEKNUM(Append321[[#This Row],[Date]])</f>
        <v>34</v>
      </c>
    </row>
    <row r="3210" spans="1:5">
      <c r="A3210" t="s">
        <v>112</v>
      </c>
      <c r="B3210" t="s">
        <v>109</v>
      </c>
      <c r="C3210" s="5">
        <v>45529</v>
      </c>
      <c r="D3210">
        <v>22</v>
      </c>
      <c r="E3210">
        <f>WEEKNUM(Append321[[#This Row],[Date]])</f>
        <v>35</v>
      </c>
    </row>
    <row r="3211" spans="1:5">
      <c r="A3211" t="s">
        <v>112</v>
      </c>
      <c r="B3211" t="s">
        <v>109</v>
      </c>
      <c r="C3211" s="5">
        <v>45530</v>
      </c>
      <c r="D3211">
        <v>19</v>
      </c>
      <c r="E3211">
        <f>WEEKNUM(Append321[[#This Row],[Date]])</f>
        <v>35</v>
      </c>
    </row>
    <row r="3212" spans="1:5">
      <c r="A3212" t="s">
        <v>112</v>
      </c>
      <c r="B3212" t="s">
        <v>109</v>
      </c>
      <c r="C3212" s="5">
        <v>45531</v>
      </c>
      <c r="D3212">
        <v>30</v>
      </c>
      <c r="E3212">
        <f>WEEKNUM(Append321[[#This Row],[Date]])</f>
        <v>35</v>
      </c>
    </row>
    <row r="3213" spans="1:5">
      <c r="A3213" t="s">
        <v>112</v>
      </c>
      <c r="B3213" t="s">
        <v>109</v>
      </c>
      <c r="C3213" s="5">
        <v>45532</v>
      </c>
      <c r="D3213">
        <v>25</v>
      </c>
      <c r="E3213">
        <f>WEEKNUM(Append321[[#This Row],[Date]])</f>
        <v>35</v>
      </c>
    </row>
    <row r="3214" spans="1:5">
      <c r="A3214" t="s">
        <v>112</v>
      </c>
      <c r="B3214" t="s">
        <v>109</v>
      </c>
      <c r="C3214" s="5">
        <v>45533</v>
      </c>
      <c r="D3214">
        <v>28</v>
      </c>
      <c r="E3214">
        <f>WEEKNUM(Append321[[#This Row],[Date]])</f>
        <v>35</v>
      </c>
    </row>
    <row r="3215" spans="1:5">
      <c r="A3215" t="s">
        <v>112</v>
      </c>
      <c r="B3215" t="s">
        <v>109</v>
      </c>
      <c r="C3215" s="5">
        <v>45534</v>
      </c>
      <c r="D3215">
        <v>30</v>
      </c>
      <c r="E3215">
        <f>WEEKNUM(Append321[[#This Row],[Date]])</f>
        <v>35</v>
      </c>
    </row>
    <row r="3216" spans="1:5">
      <c r="A3216" t="s">
        <v>112</v>
      </c>
      <c r="B3216" t="s">
        <v>109</v>
      </c>
      <c r="C3216" s="5">
        <v>45535</v>
      </c>
      <c r="D3216">
        <v>28</v>
      </c>
      <c r="E3216">
        <f>WEEKNUM(Append321[[#This Row],[Date]])</f>
        <v>35</v>
      </c>
    </row>
    <row r="3217" spans="1:5">
      <c r="A3217" t="s">
        <v>113</v>
      </c>
      <c r="B3217" t="s">
        <v>94</v>
      </c>
      <c r="C3217" s="5">
        <v>45444</v>
      </c>
      <c r="D3217">
        <v>240</v>
      </c>
      <c r="E3217">
        <f>WEEKNUM(Append321[[#This Row],[Date]])</f>
        <v>22</v>
      </c>
    </row>
    <row r="3218" spans="1:5">
      <c r="A3218" t="s">
        <v>113</v>
      </c>
      <c r="B3218" t="s">
        <v>94</v>
      </c>
      <c r="C3218" s="5">
        <v>45445</v>
      </c>
      <c r="D3218">
        <v>285</v>
      </c>
      <c r="E3218">
        <f>WEEKNUM(Append321[[#This Row],[Date]])</f>
        <v>23</v>
      </c>
    </row>
    <row r="3219" spans="1:5">
      <c r="A3219" t="s">
        <v>113</v>
      </c>
      <c r="B3219" t="s">
        <v>94</v>
      </c>
      <c r="C3219" s="5">
        <v>45446</v>
      </c>
      <c r="D3219">
        <v>205</v>
      </c>
      <c r="E3219">
        <f>WEEKNUM(Append321[[#This Row],[Date]])</f>
        <v>23</v>
      </c>
    </row>
    <row r="3220" spans="1:5">
      <c r="A3220" t="s">
        <v>113</v>
      </c>
      <c r="B3220" t="s">
        <v>94</v>
      </c>
      <c r="C3220" s="5">
        <v>45447</v>
      </c>
      <c r="D3220">
        <v>257</v>
      </c>
      <c r="E3220">
        <f>WEEKNUM(Append321[[#This Row],[Date]])</f>
        <v>23</v>
      </c>
    </row>
    <row r="3221" spans="1:5">
      <c r="A3221" t="s">
        <v>113</v>
      </c>
      <c r="B3221" t="s">
        <v>94</v>
      </c>
      <c r="C3221" s="5">
        <v>45448</v>
      </c>
      <c r="D3221">
        <v>218</v>
      </c>
      <c r="E3221">
        <f>WEEKNUM(Append321[[#This Row],[Date]])</f>
        <v>23</v>
      </c>
    </row>
    <row r="3222" spans="1:5">
      <c r="A3222" t="s">
        <v>113</v>
      </c>
      <c r="B3222" t="s">
        <v>94</v>
      </c>
      <c r="C3222" s="5">
        <v>45449</v>
      </c>
      <c r="D3222">
        <v>188</v>
      </c>
      <c r="E3222">
        <f>WEEKNUM(Append321[[#This Row],[Date]])</f>
        <v>23</v>
      </c>
    </row>
    <row r="3223" spans="1:5">
      <c r="A3223" t="s">
        <v>113</v>
      </c>
      <c r="B3223" t="s">
        <v>94</v>
      </c>
      <c r="C3223" s="5">
        <v>45450</v>
      </c>
      <c r="D3223">
        <v>247</v>
      </c>
      <c r="E3223">
        <f>WEEKNUM(Append321[[#This Row],[Date]])</f>
        <v>23</v>
      </c>
    </row>
    <row r="3224" spans="1:5">
      <c r="A3224" t="s">
        <v>113</v>
      </c>
      <c r="B3224" t="s">
        <v>94</v>
      </c>
      <c r="C3224" s="5">
        <v>45464</v>
      </c>
      <c r="D3224">
        <v>240</v>
      </c>
      <c r="E3224">
        <f>WEEKNUM(Append321[[#This Row],[Date]])</f>
        <v>25</v>
      </c>
    </row>
    <row r="3225" spans="1:5">
      <c r="A3225" t="s">
        <v>113</v>
      </c>
      <c r="B3225" t="s">
        <v>94</v>
      </c>
      <c r="C3225" s="5">
        <v>45465</v>
      </c>
      <c r="D3225">
        <v>285</v>
      </c>
      <c r="E3225">
        <f>WEEKNUM(Append321[[#This Row],[Date]])</f>
        <v>25</v>
      </c>
    </row>
    <row r="3226" spans="1:5">
      <c r="A3226" t="s">
        <v>113</v>
      </c>
      <c r="B3226" t="s">
        <v>94</v>
      </c>
      <c r="C3226" s="5">
        <v>45466</v>
      </c>
      <c r="D3226">
        <v>205</v>
      </c>
      <c r="E3226">
        <f>WEEKNUM(Append321[[#This Row],[Date]])</f>
        <v>26</v>
      </c>
    </row>
    <row r="3227" spans="1:5">
      <c r="A3227" t="s">
        <v>113</v>
      </c>
      <c r="B3227" t="s">
        <v>94</v>
      </c>
      <c r="C3227" s="5">
        <v>45467</v>
      </c>
      <c r="D3227">
        <v>257</v>
      </c>
      <c r="E3227">
        <f>WEEKNUM(Append321[[#This Row],[Date]])</f>
        <v>26</v>
      </c>
    </row>
    <row r="3228" spans="1:5">
      <c r="A3228" t="s">
        <v>113</v>
      </c>
      <c r="B3228" t="s">
        <v>94</v>
      </c>
      <c r="C3228" s="5">
        <v>45468</v>
      </c>
      <c r="D3228">
        <v>218</v>
      </c>
      <c r="E3228">
        <f>WEEKNUM(Append321[[#This Row],[Date]])</f>
        <v>26</v>
      </c>
    </row>
    <row r="3229" spans="1:5">
      <c r="A3229" t="s">
        <v>113</v>
      </c>
      <c r="B3229" t="s">
        <v>94</v>
      </c>
      <c r="C3229" s="5">
        <v>45469</v>
      </c>
      <c r="D3229">
        <v>188</v>
      </c>
      <c r="E3229">
        <f>WEEKNUM(Append321[[#This Row],[Date]])</f>
        <v>26</v>
      </c>
    </row>
    <row r="3230" spans="1:5">
      <c r="A3230" t="s">
        <v>113</v>
      </c>
      <c r="B3230" t="s">
        <v>94</v>
      </c>
      <c r="C3230" s="5">
        <v>45470</v>
      </c>
      <c r="D3230">
        <v>247</v>
      </c>
      <c r="E3230">
        <f>WEEKNUM(Append321[[#This Row],[Date]])</f>
        <v>26</v>
      </c>
    </row>
    <row r="3231" spans="1:5">
      <c r="A3231" t="s">
        <v>113</v>
      </c>
      <c r="B3231" t="s">
        <v>94</v>
      </c>
      <c r="C3231" s="5">
        <v>45475</v>
      </c>
      <c r="D3231">
        <v>174</v>
      </c>
      <c r="E3231">
        <f>WEEKNUM(Append321[[#This Row],[Date]])</f>
        <v>27</v>
      </c>
    </row>
    <row r="3232" spans="1:5">
      <c r="A3232" t="s">
        <v>113</v>
      </c>
      <c r="B3232" t="s">
        <v>94</v>
      </c>
      <c r="C3232" s="5">
        <v>45476</v>
      </c>
      <c r="D3232">
        <v>208</v>
      </c>
      <c r="E3232">
        <f>WEEKNUM(Append321[[#This Row],[Date]])</f>
        <v>27</v>
      </c>
    </row>
    <row r="3233" spans="1:5">
      <c r="A3233" t="s">
        <v>113</v>
      </c>
      <c r="B3233" t="s">
        <v>94</v>
      </c>
      <c r="C3233" s="5">
        <v>45477</v>
      </c>
      <c r="D3233">
        <v>202</v>
      </c>
      <c r="E3233">
        <f>WEEKNUM(Append321[[#This Row],[Date]])</f>
        <v>27</v>
      </c>
    </row>
    <row r="3234" spans="1:5">
      <c r="A3234" t="s">
        <v>113</v>
      </c>
      <c r="B3234" t="s">
        <v>94</v>
      </c>
      <c r="C3234" s="5">
        <v>45478</v>
      </c>
      <c r="D3234">
        <v>201</v>
      </c>
      <c r="E3234">
        <f>WEEKNUM(Append321[[#This Row],[Date]])</f>
        <v>27</v>
      </c>
    </row>
    <row r="3235" spans="1:5">
      <c r="A3235" t="s">
        <v>113</v>
      </c>
      <c r="B3235" t="s">
        <v>94</v>
      </c>
      <c r="C3235" s="5">
        <v>45479</v>
      </c>
      <c r="D3235">
        <v>198</v>
      </c>
      <c r="E3235">
        <f>WEEKNUM(Append321[[#This Row],[Date]])</f>
        <v>27</v>
      </c>
    </row>
    <row r="3236" spans="1:5">
      <c r="A3236" t="s">
        <v>113</v>
      </c>
      <c r="B3236" t="s">
        <v>94</v>
      </c>
      <c r="C3236" s="5">
        <v>45480</v>
      </c>
      <c r="D3236">
        <v>211</v>
      </c>
      <c r="E3236">
        <f>WEEKNUM(Append321[[#This Row],[Date]])</f>
        <v>28</v>
      </c>
    </row>
    <row r="3237" spans="1:5">
      <c r="A3237" t="s">
        <v>113</v>
      </c>
      <c r="B3237" t="s">
        <v>94</v>
      </c>
      <c r="C3237" s="5">
        <v>45481</v>
      </c>
      <c r="D3237">
        <v>188</v>
      </c>
      <c r="E3237">
        <f>WEEKNUM(Append321[[#This Row],[Date]])</f>
        <v>28</v>
      </c>
    </row>
    <row r="3238" spans="1:5">
      <c r="A3238" t="s">
        <v>113</v>
      </c>
      <c r="B3238" t="s">
        <v>94</v>
      </c>
      <c r="C3238" s="5">
        <v>45482</v>
      </c>
      <c r="D3238">
        <v>239</v>
      </c>
      <c r="E3238">
        <f>WEEKNUM(Append321[[#This Row],[Date]])</f>
        <v>28</v>
      </c>
    </row>
    <row r="3239" spans="1:5">
      <c r="A3239" t="s">
        <v>113</v>
      </c>
      <c r="B3239" t="s">
        <v>94</v>
      </c>
      <c r="C3239" s="5">
        <v>45483</v>
      </c>
      <c r="D3239">
        <v>169</v>
      </c>
      <c r="E3239">
        <f>WEEKNUM(Append321[[#This Row],[Date]])</f>
        <v>28</v>
      </c>
    </row>
    <row r="3240" spans="1:5">
      <c r="A3240" t="s">
        <v>113</v>
      </c>
      <c r="B3240" t="s">
        <v>94</v>
      </c>
      <c r="C3240" s="5">
        <v>45484</v>
      </c>
      <c r="D3240">
        <v>213</v>
      </c>
      <c r="E3240">
        <f>WEEKNUM(Append321[[#This Row],[Date]])</f>
        <v>28</v>
      </c>
    </row>
    <row r="3241" spans="1:5">
      <c r="A3241" t="s">
        <v>113</v>
      </c>
      <c r="B3241" t="s">
        <v>94</v>
      </c>
      <c r="C3241" s="5">
        <v>45485</v>
      </c>
      <c r="D3241">
        <v>200</v>
      </c>
      <c r="E3241">
        <f>WEEKNUM(Append321[[#This Row],[Date]])</f>
        <v>28</v>
      </c>
    </row>
    <row r="3242" spans="1:5">
      <c r="A3242" t="s">
        <v>113</v>
      </c>
      <c r="B3242" t="s">
        <v>94</v>
      </c>
      <c r="C3242" s="5">
        <v>45486</v>
      </c>
      <c r="D3242">
        <v>188</v>
      </c>
      <c r="E3242">
        <f>WEEKNUM(Append321[[#This Row],[Date]])</f>
        <v>28</v>
      </c>
    </row>
    <row r="3243" spans="1:5">
      <c r="A3243" t="s">
        <v>113</v>
      </c>
      <c r="B3243" t="s">
        <v>94</v>
      </c>
      <c r="C3243" s="5">
        <v>45487</v>
      </c>
      <c r="D3243">
        <v>196</v>
      </c>
      <c r="E3243">
        <f>WEEKNUM(Append321[[#This Row],[Date]])</f>
        <v>29</v>
      </c>
    </row>
    <row r="3244" spans="1:5">
      <c r="A3244" t="s">
        <v>113</v>
      </c>
      <c r="B3244" t="s">
        <v>94</v>
      </c>
      <c r="C3244" s="5">
        <v>45488</v>
      </c>
      <c r="D3244">
        <v>220</v>
      </c>
      <c r="E3244">
        <f>WEEKNUM(Append321[[#This Row],[Date]])</f>
        <v>29</v>
      </c>
    </row>
    <row r="3245" spans="1:5">
      <c r="A3245" t="s">
        <v>113</v>
      </c>
      <c r="B3245" t="s">
        <v>94</v>
      </c>
      <c r="C3245" s="5">
        <v>45489</v>
      </c>
      <c r="D3245">
        <v>222</v>
      </c>
      <c r="E3245">
        <f>WEEKNUM(Append321[[#This Row],[Date]])</f>
        <v>29</v>
      </c>
    </row>
    <row r="3246" spans="1:5">
      <c r="A3246" t="s">
        <v>113</v>
      </c>
      <c r="B3246" t="s">
        <v>94</v>
      </c>
      <c r="C3246" s="5">
        <v>45490</v>
      </c>
      <c r="D3246">
        <v>169</v>
      </c>
      <c r="E3246">
        <f>WEEKNUM(Append321[[#This Row],[Date]])</f>
        <v>29</v>
      </c>
    </row>
    <row r="3247" spans="1:5">
      <c r="A3247" t="s">
        <v>113</v>
      </c>
      <c r="B3247" t="s">
        <v>94</v>
      </c>
      <c r="C3247" s="5">
        <v>45491</v>
      </c>
      <c r="D3247">
        <v>177</v>
      </c>
      <c r="E3247">
        <f>WEEKNUM(Append321[[#This Row],[Date]])</f>
        <v>29</v>
      </c>
    </row>
    <row r="3248" spans="1:5">
      <c r="A3248" t="s">
        <v>113</v>
      </c>
      <c r="B3248" t="s">
        <v>94</v>
      </c>
      <c r="C3248" s="5">
        <v>45492</v>
      </c>
      <c r="D3248">
        <v>186</v>
      </c>
      <c r="E3248">
        <f>WEEKNUM(Append321[[#This Row],[Date]])</f>
        <v>29</v>
      </c>
    </row>
    <row r="3249" spans="1:5">
      <c r="A3249" t="s">
        <v>113</v>
      </c>
      <c r="B3249" t="s">
        <v>94</v>
      </c>
      <c r="C3249" s="5">
        <v>45493</v>
      </c>
      <c r="D3249">
        <v>213</v>
      </c>
      <c r="E3249">
        <f>WEEKNUM(Append321[[#This Row],[Date]])</f>
        <v>29</v>
      </c>
    </row>
    <row r="3250" spans="1:5">
      <c r="A3250" t="s">
        <v>113</v>
      </c>
      <c r="B3250" t="s">
        <v>94</v>
      </c>
      <c r="C3250" s="5">
        <v>45494</v>
      </c>
      <c r="D3250">
        <v>208</v>
      </c>
      <c r="E3250">
        <f>WEEKNUM(Append321[[#This Row],[Date]])</f>
        <v>30</v>
      </c>
    </row>
    <row r="3251" spans="1:5">
      <c r="A3251" t="s">
        <v>113</v>
      </c>
      <c r="B3251" t="s">
        <v>94</v>
      </c>
      <c r="C3251" s="5">
        <v>45495</v>
      </c>
      <c r="D3251">
        <v>216</v>
      </c>
      <c r="E3251">
        <f>WEEKNUM(Append321[[#This Row],[Date]])</f>
        <v>30</v>
      </c>
    </row>
    <row r="3252" spans="1:5">
      <c r="A3252" t="s">
        <v>113</v>
      </c>
      <c r="B3252" t="s">
        <v>94</v>
      </c>
      <c r="C3252" s="5">
        <v>45496</v>
      </c>
      <c r="D3252">
        <v>225</v>
      </c>
      <c r="E3252">
        <f>WEEKNUM(Append321[[#This Row],[Date]])</f>
        <v>30</v>
      </c>
    </row>
    <row r="3253" spans="1:5">
      <c r="A3253" t="s">
        <v>113</v>
      </c>
      <c r="B3253" t="s">
        <v>94</v>
      </c>
      <c r="C3253" s="5">
        <v>45522</v>
      </c>
      <c r="D3253">
        <v>1</v>
      </c>
      <c r="E3253">
        <f>WEEKNUM(Append321[[#This Row],[Date]])</f>
        <v>34</v>
      </c>
    </row>
    <row r="3254" spans="1:5">
      <c r="A3254" t="s">
        <v>113</v>
      </c>
      <c r="B3254" t="s">
        <v>94</v>
      </c>
      <c r="C3254" s="5">
        <v>45524</v>
      </c>
      <c r="D3254">
        <v>1</v>
      </c>
      <c r="E3254">
        <f>WEEKNUM(Append321[[#This Row],[Date]])</f>
        <v>34</v>
      </c>
    </row>
    <row r="3255" spans="1:5">
      <c r="A3255" t="s">
        <v>113</v>
      </c>
      <c r="B3255" t="s">
        <v>94</v>
      </c>
      <c r="C3255" s="5">
        <v>45525</v>
      </c>
      <c r="D3255">
        <v>2</v>
      </c>
      <c r="E3255">
        <f>WEEKNUM(Append321[[#This Row],[Date]])</f>
        <v>34</v>
      </c>
    </row>
    <row r="3256" spans="1:5">
      <c r="A3256" t="s">
        <v>113</v>
      </c>
      <c r="B3256" t="s">
        <v>94</v>
      </c>
      <c r="C3256" s="5">
        <v>45526</v>
      </c>
      <c r="D3256">
        <v>6</v>
      </c>
      <c r="E3256">
        <f>WEEKNUM(Append321[[#This Row],[Date]])</f>
        <v>34</v>
      </c>
    </row>
    <row r="3257" spans="1:5">
      <c r="A3257" t="s">
        <v>113</v>
      </c>
      <c r="B3257" t="s">
        <v>94</v>
      </c>
      <c r="C3257" s="5">
        <v>45527</v>
      </c>
      <c r="D3257">
        <v>6</v>
      </c>
      <c r="E3257">
        <f>WEEKNUM(Append321[[#This Row],[Date]])</f>
        <v>34</v>
      </c>
    </row>
    <row r="3258" spans="1:5">
      <c r="A3258" t="s">
        <v>113</v>
      </c>
      <c r="B3258" t="s">
        <v>94</v>
      </c>
      <c r="C3258" s="5">
        <v>45528</v>
      </c>
      <c r="D3258">
        <v>3</v>
      </c>
      <c r="E3258">
        <f>WEEKNUM(Append321[[#This Row],[Date]])</f>
        <v>34</v>
      </c>
    </row>
    <row r="3259" spans="1:5">
      <c r="A3259" t="s">
        <v>113</v>
      </c>
      <c r="B3259" t="s">
        <v>94</v>
      </c>
      <c r="C3259" s="5">
        <v>45529</v>
      </c>
      <c r="D3259">
        <v>15</v>
      </c>
      <c r="E3259">
        <f>WEEKNUM(Append321[[#This Row],[Date]])</f>
        <v>35</v>
      </c>
    </row>
    <row r="3260" spans="1:5">
      <c r="A3260" t="s">
        <v>113</v>
      </c>
      <c r="B3260" t="s">
        <v>94</v>
      </c>
      <c r="C3260" s="5">
        <v>45530</v>
      </c>
      <c r="D3260">
        <v>6</v>
      </c>
      <c r="E3260">
        <f>WEEKNUM(Append321[[#This Row],[Date]])</f>
        <v>35</v>
      </c>
    </row>
    <row r="3261" spans="1:5">
      <c r="A3261" t="s">
        <v>113</v>
      </c>
      <c r="B3261" t="s">
        <v>95</v>
      </c>
      <c r="C3261" s="5">
        <v>45444</v>
      </c>
      <c r="D3261">
        <v>282</v>
      </c>
      <c r="E3261">
        <f>WEEKNUM(Append321[[#This Row],[Date]])</f>
        <v>22</v>
      </c>
    </row>
    <row r="3262" spans="1:5">
      <c r="A3262" t="s">
        <v>113</v>
      </c>
      <c r="B3262" t="s">
        <v>95</v>
      </c>
      <c r="C3262" s="5">
        <v>45445</v>
      </c>
      <c r="D3262">
        <v>286</v>
      </c>
      <c r="E3262">
        <f>WEEKNUM(Append321[[#This Row],[Date]])</f>
        <v>23</v>
      </c>
    </row>
    <row r="3263" spans="1:5">
      <c r="A3263" t="s">
        <v>113</v>
      </c>
      <c r="B3263" t="s">
        <v>95</v>
      </c>
      <c r="C3263" s="5">
        <v>45446</v>
      </c>
      <c r="D3263">
        <v>276</v>
      </c>
      <c r="E3263">
        <f>WEEKNUM(Append321[[#This Row],[Date]])</f>
        <v>23</v>
      </c>
    </row>
    <row r="3264" spans="1:5">
      <c r="A3264" t="s">
        <v>113</v>
      </c>
      <c r="B3264" t="s">
        <v>95</v>
      </c>
      <c r="C3264" s="5">
        <v>45447</v>
      </c>
      <c r="D3264">
        <v>279</v>
      </c>
      <c r="E3264">
        <f>WEEKNUM(Append321[[#This Row],[Date]])</f>
        <v>23</v>
      </c>
    </row>
    <row r="3265" spans="1:5">
      <c r="A3265" t="s">
        <v>113</v>
      </c>
      <c r="B3265" t="s">
        <v>95</v>
      </c>
      <c r="C3265" s="5">
        <v>45448</v>
      </c>
      <c r="D3265">
        <v>278</v>
      </c>
      <c r="E3265">
        <f>WEEKNUM(Append321[[#This Row],[Date]])</f>
        <v>23</v>
      </c>
    </row>
    <row r="3266" spans="1:5">
      <c r="A3266" t="s">
        <v>113</v>
      </c>
      <c r="B3266" t="s">
        <v>95</v>
      </c>
      <c r="C3266" s="5">
        <v>45449</v>
      </c>
      <c r="D3266">
        <v>260</v>
      </c>
      <c r="E3266">
        <f>WEEKNUM(Append321[[#This Row],[Date]])</f>
        <v>23</v>
      </c>
    </row>
    <row r="3267" spans="1:5">
      <c r="A3267" t="s">
        <v>113</v>
      </c>
      <c r="B3267" t="s">
        <v>95</v>
      </c>
      <c r="C3267" s="5">
        <v>45450</v>
      </c>
      <c r="D3267">
        <v>300</v>
      </c>
      <c r="E3267">
        <f>WEEKNUM(Append321[[#This Row],[Date]])</f>
        <v>23</v>
      </c>
    </row>
    <row r="3268" spans="1:5">
      <c r="A3268" t="s">
        <v>113</v>
      </c>
      <c r="B3268" t="s">
        <v>95</v>
      </c>
      <c r="C3268" s="5">
        <v>45464</v>
      </c>
      <c r="D3268">
        <v>282</v>
      </c>
      <c r="E3268">
        <f>WEEKNUM(Append321[[#This Row],[Date]])</f>
        <v>25</v>
      </c>
    </row>
    <row r="3269" spans="1:5">
      <c r="A3269" t="s">
        <v>113</v>
      </c>
      <c r="B3269" t="s">
        <v>95</v>
      </c>
      <c r="C3269" s="5">
        <v>45465</v>
      </c>
      <c r="D3269">
        <v>286</v>
      </c>
      <c r="E3269">
        <f>WEEKNUM(Append321[[#This Row],[Date]])</f>
        <v>25</v>
      </c>
    </row>
    <row r="3270" spans="1:5">
      <c r="A3270" t="s">
        <v>113</v>
      </c>
      <c r="B3270" t="s">
        <v>95</v>
      </c>
      <c r="C3270" s="5">
        <v>45466</v>
      </c>
      <c r="D3270">
        <v>276</v>
      </c>
      <c r="E3270">
        <f>WEEKNUM(Append321[[#This Row],[Date]])</f>
        <v>26</v>
      </c>
    </row>
    <row r="3271" spans="1:5">
      <c r="A3271" t="s">
        <v>113</v>
      </c>
      <c r="B3271" t="s">
        <v>95</v>
      </c>
      <c r="C3271" s="5">
        <v>45467</v>
      </c>
      <c r="D3271">
        <v>279</v>
      </c>
      <c r="E3271">
        <f>WEEKNUM(Append321[[#This Row],[Date]])</f>
        <v>26</v>
      </c>
    </row>
    <row r="3272" spans="1:5">
      <c r="A3272" t="s">
        <v>113</v>
      </c>
      <c r="B3272" t="s">
        <v>95</v>
      </c>
      <c r="C3272" s="5">
        <v>45468</v>
      </c>
      <c r="D3272">
        <v>278</v>
      </c>
      <c r="E3272">
        <f>WEEKNUM(Append321[[#This Row],[Date]])</f>
        <v>26</v>
      </c>
    </row>
    <row r="3273" spans="1:5">
      <c r="A3273" t="s">
        <v>113</v>
      </c>
      <c r="B3273" t="s">
        <v>95</v>
      </c>
      <c r="C3273" s="5">
        <v>45469</v>
      </c>
      <c r="D3273">
        <v>260</v>
      </c>
      <c r="E3273">
        <f>WEEKNUM(Append321[[#This Row],[Date]])</f>
        <v>26</v>
      </c>
    </row>
    <row r="3274" spans="1:5">
      <c r="A3274" t="s">
        <v>113</v>
      </c>
      <c r="B3274" t="s">
        <v>95</v>
      </c>
      <c r="C3274" s="5">
        <v>45470</v>
      </c>
      <c r="D3274">
        <v>300</v>
      </c>
      <c r="E3274">
        <f>WEEKNUM(Append321[[#This Row],[Date]])</f>
        <v>26</v>
      </c>
    </row>
    <row r="3275" spans="1:5">
      <c r="A3275" t="s">
        <v>113</v>
      </c>
      <c r="B3275" t="s">
        <v>95</v>
      </c>
      <c r="C3275" s="5">
        <v>45475</v>
      </c>
      <c r="D3275">
        <v>239</v>
      </c>
      <c r="E3275">
        <f>WEEKNUM(Append321[[#This Row],[Date]])</f>
        <v>27</v>
      </c>
    </row>
    <row r="3276" spans="1:5">
      <c r="A3276" t="s">
        <v>113</v>
      </c>
      <c r="B3276" t="s">
        <v>95</v>
      </c>
      <c r="C3276" s="5">
        <v>45476</v>
      </c>
      <c r="D3276">
        <v>285</v>
      </c>
      <c r="E3276">
        <f>WEEKNUM(Append321[[#This Row],[Date]])</f>
        <v>27</v>
      </c>
    </row>
    <row r="3277" spans="1:5">
      <c r="A3277" t="s">
        <v>113</v>
      </c>
      <c r="B3277" t="s">
        <v>95</v>
      </c>
      <c r="C3277" s="5">
        <v>45477</v>
      </c>
      <c r="D3277">
        <v>267</v>
      </c>
      <c r="E3277">
        <f>WEEKNUM(Append321[[#This Row],[Date]])</f>
        <v>27</v>
      </c>
    </row>
    <row r="3278" spans="1:5">
      <c r="A3278" t="s">
        <v>113</v>
      </c>
      <c r="B3278" t="s">
        <v>95</v>
      </c>
      <c r="C3278" s="5">
        <v>45478</v>
      </c>
      <c r="D3278">
        <v>281</v>
      </c>
      <c r="E3278">
        <f>WEEKNUM(Append321[[#This Row],[Date]])</f>
        <v>27</v>
      </c>
    </row>
    <row r="3279" spans="1:5">
      <c r="A3279" t="s">
        <v>113</v>
      </c>
      <c r="B3279" t="s">
        <v>95</v>
      </c>
      <c r="C3279" s="5">
        <v>45479</v>
      </c>
      <c r="D3279">
        <v>269</v>
      </c>
      <c r="E3279">
        <f>WEEKNUM(Append321[[#This Row],[Date]])</f>
        <v>27</v>
      </c>
    </row>
    <row r="3280" spans="1:5">
      <c r="A3280" t="s">
        <v>113</v>
      </c>
      <c r="B3280" t="s">
        <v>95</v>
      </c>
      <c r="C3280" s="5">
        <v>45480</v>
      </c>
      <c r="D3280">
        <v>303</v>
      </c>
      <c r="E3280">
        <f>WEEKNUM(Append321[[#This Row],[Date]])</f>
        <v>28</v>
      </c>
    </row>
    <row r="3281" spans="1:5">
      <c r="A3281" t="s">
        <v>113</v>
      </c>
      <c r="B3281" t="s">
        <v>95</v>
      </c>
      <c r="C3281" s="5">
        <v>45481</v>
      </c>
      <c r="D3281">
        <v>303</v>
      </c>
      <c r="E3281">
        <f>WEEKNUM(Append321[[#This Row],[Date]])</f>
        <v>28</v>
      </c>
    </row>
    <row r="3282" spans="1:5">
      <c r="A3282" t="s">
        <v>113</v>
      </c>
      <c r="B3282" t="s">
        <v>95</v>
      </c>
      <c r="C3282" s="5">
        <v>45482</v>
      </c>
      <c r="D3282">
        <v>315</v>
      </c>
      <c r="E3282">
        <f>WEEKNUM(Append321[[#This Row],[Date]])</f>
        <v>28</v>
      </c>
    </row>
    <row r="3283" spans="1:5">
      <c r="A3283" t="s">
        <v>113</v>
      </c>
      <c r="B3283" t="s">
        <v>95</v>
      </c>
      <c r="C3283" s="5">
        <v>45483</v>
      </c>
      <c r="D3283">
        <v>269</v>
      </c>
      <c r="E3283">
        <f>WEEKNUM(Append321[[#This Row],[Date]])</f>
        <v>28</v>
      </c>
    </row>
    <row r="3284" spans="1:5">
      <c r="A3284" t="s">
        <v>113</v>
      </c>
      <c r="B3284" t="s">
        <v>95</v>
      </c>
      <c r="C3284" s="5">
        <v>45484</v>
      </c>
      <c r="D3284">
        <v>231</v>
      </c>
      <c r="E3284">
        <f>WEEKNUM(Append321[[#This Row],[Date]])</f>
        <v>28</v>
      </c>
    </row>
    <row r="3285" spans="1:5">
      <c r="A3285" t="s">
        <v>113</v>
      </c>
      <c r="B3285" t="s">
        <v>95</v>
      </c>
      <c r="C3285" s="5">
        <v>45485</v>
      </c>
      <c r="D3285">
        <v>285</v>
      </c>
      <c r="E3285">
        <f>WEEKNUM(Append321[[#This Row],[Date]])</f>
        <v>28</v>
      </c>
    </row>
    <row r="3286" spans="1:5">
      <c r="A3286" t="s">
        <v>113</v>
      </c>
      <c r="B3286" t="s">
        <v>95</v>
      </c>
      <c r="C3286" s="5">
        <v>45486</v>
      </c>
      <c r="D3286">
        <v>285</v>
      </c>
      <c r="E3286">
        <f>WEEKNUM(Append321[[#This Row],[Date]])</f>
        <v>28</v>
      </c>
    </row>
    <row r="3287" spans="1:5">
      <c r="A3287" t="s">
        <v>113</v>
      </c>
      <c r="B3287" t="s">
        <v>95</v>
      </c>
      <c r="C3287" s="5">
        <v>45487</v>
      </c>
      <c r="D3287">
        <v>312</v>
      </c>
      <c r="E3287">
        <f>WEEKNUM(Append321[[#This Row],[Date]])</f>
        <v>29</v>
      </c>
    </row>
    <row r="3288" spans="1:5">
      <c r="A3288" t="s">
        <v>113</v>
      </c>
      <c r="B3288" t="s">
        <v>95</v>
      </c>
      <c r="C3288" s="5">
        <v>45488</v>
      </c>
      <c r="D3288">
        <v>308</v>
      </c>
      <c r="E3288">
        <f>WEEKNUM(Append321[[#This Row],[Date]])</f>
        <v>29</v>
      </c>
    </row>
    <row r="3289" spans="1:5">
      <c r="A3289" t="s">
        <v>113</v>
      </c>
      <c r="B3289" t="s">
        <v>95</v>
      </c>
      <c r="C3289" s="5">
        <v>45489</v>
      </c>
      <c r="D3289">
        <v>313</v>
      </c>
      <c r="E3289">
        <f>WEEKNUM(Append321[[#This Row],[Date]])</f>
        <v>29</v>
      </c>
    </row>
    <row r="3290" spans="1:5">
      <c r="A3290" t="s">
        <v>113</v>
      </c>
      <c r="B3290" t="s">
        <v>95</v>
      </c>
      <c r="C3290" s="5">
        <v>45490</v>
      </c>
      <c r="D3290">
        <v>265</v>
      </c>
      <c r="E3290">
        <f>WEEKNUM(Append321[[#This Row],[Date]])</f>
        <v>29</v>
      </c>
    </row>
    <row r="3291" spans="1:5">
      <c r="A3291" t="s">
        <v>113</v>
      </c>
      <c r="B3291" t="s">
        <v>95</v>
      </c>
      <c r="C3291" s="5">
        <v>45491</v>
      </c>
      <c r="D3291">
        <v>299</v>
      </c>
      <c r="E3291">
        <f>WEEKNUM(Append321[[#This Row],[Date]])</f>
        <v>29</v>
      </c>
    </row>
    <row r="3292" spans="1:5">
      <c r="A3292" t="s">
        <v>113</v>
      </c>
      <c r="B3292" t="s">
        <v>95</v>
      </c>
      <c r="C3292" s="5">
        <v>45492</v>
      </c>
      <c r="D3292">
        <v>284</v>
      </c>
      <c r="E3292">
        <f>WEEKNUM(Append321[[#This Row],[Date]])</f>
        <v>29</v>
      </c>
    </row>
    <row r="3293" spans="1:5">
      <c r="A3293" t="s">
        <v>113</v>
      </c>
      <c r="B3293" t="s">
        <v>95</v>
      </c>
      <c r="C3293" s="5">
        <v>45493</v>
      </c>
      <c r="D3293">
        <v>282</v>
      </c>
      <c r="E3293">
        <f>WEEKNUM(Append321[[#This Row],[Date]])</f>
        <v>29</v>
      </c>
    </row>
    <row r="3294" spans="1:5">
      <c r="A3294" t="s">
        <v>113</v>
      </c>
      <c r="B3294" t="s">
        <v>95</v>
      </c>
      <c r="C3294" s="5">
        <v>45494</v>
      </c>
      <c r="D3294">
        <v>298</v>
      </c>
      <c r="E3294">
        <f>WEEKNUM(Append321[[#This Row],[Date]])</f>
        <v>30</v>
      </c>
    </row>
    <row r="3295" spans="1:5">
      <c r="A3295" t="s">
        <v>113</v>
      </c>
      <c r="B3295" t="s">
        <v>95</v>
      </c>
      <c r="C3295" s="5">
        <v>45495</v>
      </c>
      <c r="D3295">
        <v>316</v>
      </c>
      <c r="E3295">
        <f>WEEKNUM(Append321[[#This Row],[Date]])</f>
        <v>30</v>
      </c>
    </row>
    <row r="3296" spans="1:5">
      <c r="A3296" t="s">
        <v>113</v>
      </c>
      <c r="B3296" t="s">
        <v>95</v>
      </c>
      <c r="C3296" s="5">
        <v>45496</v>
      </c>
      <c r="D3296">
        <v>329</v>
      </c>
      <c r="E3296">
        <f>WEEKNUM(Append321[[#This Row],[Date]])</f>
        <v>30</v>
      </c>
    </row>
    <row r="3297" spans="1:5">
      <c r="A3297" t="s">
        <v>113</v>
      </c>
      <c r="B3297" t="s">
        <v>95</v>
      </c>
      <c r="C3297" s="5">
        <v>45522</v>
      </c>
      <c r="D3297">
        <v>79</v>
      </c>
      <c r="E3297">
        <f>WEEKNUM(Append321[[#This Row],[Date]])</f>
        <v>34</v>
      </c>
    </row>
    <row r="3298" spans="1:5">
      <c r="A3298" t="s">
        <v>113</v>
      </c>
      <c r="B3298" t="s">
        <v>95</v>
      </c>
      <c r="C3298" s="5">
        <v>45523</v>
      </c>
      <c r="D3298">
        <v>93</v>
      </c>
      <c r="E3298">
        <f>WEEKNUM(Append321[[#This Row],[Date]])</f>
        <v>34</v>
      </c>
    </row>
    <row r="3299" spans="1:5">
      <c r="A3299" t="s">
        <v>113</v>
      </c>
      <c r="B3299" t="s">
        <v>95</v>
      </c>
      <c r="C3299" s="5">
        <v>45524</v>
      </c>
      <c r="D3299">
        <v>89</v>
      </c>
      <c r="E3299">
        <f>WEEKNUM(Append321[[#This Row],[Date]])</f>
        <v>34</v>
      </c>
    </row>
    <row r="3300" spans="1:5">
      <c r="A3300" t="s">
        <v>113</v>
      </c>
      <c r="B3300" t="s">
        <v>95</v>
      </c>
      <c r="C3300" s="5">
        <v>45525</v>
      </c>
      <c r="D3300">
        <v>103</v>
      </c>
      <c r="E3300">
        <f>WEEKNUM(Append321[[#This Row],[Date]])</f>
        <v>34</v>
      </c>
    </row>
    <row r="3301" spans="1:5">
      <c r="A3301" t="s">
        <v>113</v>
      </c>
      <c r="B3301" t="s">
        <v>95</v>
      </c>
      <c r="C3301" s="5">
        <v>45526</v>
      </c>
      <c r="D3301">
        <v>82</v>
      </c>
      <c r="E3301">
        <f>WEEKNUM(Append321[[#This Row],[Date]])</f>
        <v>34</v>
      </c>
    </row>
    <row r="3302" spans="1:5">
      <c r="A3302" t="s">
        <v>113</v>
      </c>
      <c r="B3302" t="s">
        <v>95</v>
      </c>
      <c r="C3302" s="5">
        <v>45527</v>
      </c>
      <c r="D3302">
        <v>114</v>
      </c>
      <c r="E3302">
        <f>WEEKNUM(Append321[[#This Row],[Date]])</f>
        <v>34</v>
      </c>
    </row>
    <row r="3303" spans="1:5">
      <c r="A3303" t="s">
        <v>113</v>
      </c>
      <c r="B3303" t="s">
        <v>95</v>
      </c>
      <c r="C3303" s="5">
        <v>45528</v>
      </c>
      <c r="D3303">
        <v>97</v>
      </c>
      <c r="E3303">
        <f>WEEKNUM(Append321[[#This Row],[Date]])</f>
        <v>34</v>
      </c>
    </row>
    <row r="3304" spans="1:5">
      <c r="A3304" t="s">
        <v>113</v>
      </c>
      <c r="B3304" t="s">
        <v>95</v>
      </c>
      <c r="C3304" s="5">
        <v>45529</v>
      </c>
      <c r="D3304">
        <v>98</v>
      </c>
      <c r="E3304">
        <f>WEEKNUM(Append321[[#This Row],[Date]])</f>
        <v>35</v>
      </c>
    </row>
    <row r="3305" spans="1:5">
      <c r="A3305" t="s">
        <v>113</v>
      </c>
      <c r="B3305" t="s">
        <v>95</v>
      </c>
      <c r="C3305" s="5">
        <v>45530</v>
      </c>
      <c r="D3305">
        <v>109</v>
      </c>
      <c r="E3305">
        <f>WEEKNUM(Append321[[#This Row],[Date]])</f>
        <v>35</v>
      </c>
    </row>
    <row r="3306" spans="1:5">
      <c r="A3306" t="s">
        <v>113</v>
      </c>
      <c r="B3306" t="s">
        <v>96</v>
      </c>
      <c r="C3306" s="5">
        <v>45444</v>
      </c>
      <c r="D3306">
        <v>544</v>
      </c>
      <c r="E3306">
        <f>WEEKNUM(Append321[[#This Row],[Date]])</f>
        <v>22</v>
      </c>
    </row>
    <row r="3307" spans="1:5">
      <c r="A3307" t="s">
        <v>113</v>
      </c>
      <c r="B3307" t="s">
        <v>96</v>
      </c>
      <c r="C3307" s="5">
        <v>45445</v>
      </c>
      <c r="D3307">
        <v>491</v>
      </c>
      <c r="E3307">
        <f>WEEKNUM(Append321[[#This Row],[Date]])</f>
        <v>23</v>
      </c>
    </row>
    <row r="3308" spans="1:5">
      <c r="A3308" t="s">
        <v>113</v>
      </c>
      <c r="B3308" t="s">
        <v>96</v>
      </c>
      <c r="C3308" s="5">
        <v>45446</v>
      </c>
      <c r="D3308">
        <v>532</v>
      </c>
      <c r="E3308">
        <f>WEEKNUM(Append321[[#This Row],[Date]])</f>
        <v>23</v>
      </c>
    </row>
    <row r="3309" spans="1:5">
      <c r="A3309" t="s">
        <v>113</v>
      </c>
      <c r="B3309" t="s">
        <v>96</v>
      </c>
      <c r="C3309" s="5">
        <v>45447</v>
      </c>
      <c r="D3309">
        <v>562</v>
      </c>
      <c r="E3309">
        <f>WEEKNUM(Append321[[#This Row],[Date]])</f>
        <v>23</v>
      </c>
    </row>
    <row r="3310" spans="1:5">
      <c r="A3310" t="s">
        <v>113</v>
      </c>
      <c r="B3310" t="s">
        <v>96</v>
      </c>
      <c r="C3310" s="5">
        <v>45448</v>
      </c>
      <c r="D3310">
        <v>495</v>
      </c>
      <c r="E3310">
        <f>WEEKNUM(Append321[[#This Row],[Date]])</f>
        <v>23</v>
      </c>
    </row>
    <row r="3311" spans="1:5">
      <c r="A3311" t="s">
        <v>113</v>
      </c>
      <c r="B3311" t="s">
        <v>96</v>
      </c>
      <c r="C3311" s="5">
        <v>45449</v>
      </c>
      <c r="D3311">
        <v>512</v>
      </c>
      <c r="E3311">
        <f>WEEKNUM(Append321[[#This Row],[Date]])</f>
        <v>23</v>
      </c>
    </row>
    <row r="3312" spans="1:5">
      <c r="A3312" t="s">
        <v>113</v>
      </c>
      <c r="B3312" t="s">
        <v>96</v>
      </c>
      <c r="C3312" s="5">
        <v>45450</v>
      </c>
      <c r="D3312">
        <v>540</v>
      </c>
      <c r="E3312">
        <f>WEEKNUM(Append321[[#This Row],[Date]])</f>
        <v>23</v>
      </c>
    </row>
    <row r="3313" spans="1:5">
      <c r="A3313" t="s">
        <v>113</v>
      </c>
      <c r="B3313" t="s">
        <v>96</v>
      </c>
      <c r="C3313" s="5">
        <v>45464</v>
      </c>
      <c r="D3313">
        <v>544</v>
      </c>
      <c r="E3313">
        <f>WEEKNUM(Append321[[#This Row],[Date]])</f>
        <v>25</v>
      </c>
    </row>
    <row r="3314" spans="1:5">
      <c r="A3314" t="s">
        <v>113</v>
      </c>
      <c r="B3314" t="s">
        <v>96</v>
      </c>
      <c r="C3314" s="5">
        <v>45465</v>
      </c>
      <c r="D3314">
        <v>491</v>
      </c>
      <c r="E3314">
        <f>WEEKNUM(Append321[[#This Row],[Date]])</f>
        <v>25</v>
      </c>
    </row>
    <row r="3315" spans="1:5">
      <c r="A3315" t="s">
        <v>113</v>
      </c>
      <c r="B3315" t="s">
        <v>96</v>
      </c>
      <c r="C3315" s="5">
        <v>45466</v>
      </c>
      <c r="D3315">
        <v>532</v>
      </c>
      <c r="E3315">
        <f>WEEKNUM(Append321[[#This Row],[Date]])</f>
        <v>26</v>
      </c>
    </row>
    <row r="3316" spans="1:5">
      <c r="A3316" t="s">
        <v>113</v>
      </c>
      <c r="B3316" t="s">
        <v>96</v>
      </c>
      <c r="C3316" s="5">
        <v>45467</v>
      </c>
      <c r="D3316">
        <v>562</v>
      </c>
      <c r="E3316">
        <f>WEEKNUM(Append321[[#This Row],[Date]])</f>
        <v>26</v>
      </c>
    </row>
    <row r="3317" spans="1:5">
      <c r="A3317" t="s">
        <v>113</v>
      </c>
      <c r="B3317" t="s">
        <v>96</v>
      </c>
      <c r="C3317" s="5">
        <v>45468</v>
      </c>
      <c r="D3317">
        <v>495</v>
      </c>
      <c r="E3317">
        <f>WEEKNUM(Append321[[#This Row],[Date]])</f>
        <v>26</v>
      </c>
    </row>
    <row r="3318" spans="1:5">
      <c r="A3318" t="s">
        <v>113</v>
      </c>
      <c r="B3318" t="s">
        <v>96</v>
      </c>
      <c r="C3318" s="5">
        <v>45469</v>
      </c>
      <c r="D3318">
        <v>512</v>
      </c>
      <c r="E3318">
        <f>WEEKNUM(Append321[[#This Row],[Date]])</f>
        <v>26</v>
      </c>
    </row>
    <row r="3319" spans="1:5">
      <c r="A3319" t="s">
        <v>113</v>
      </c>
      <c r="B3319" t="s">
        <v>96</v>
      </c>
      <c r="C3319" s="5">
        <v>45470</v>
      </c>
      <c r="D3319">
        <v>540</v>
      </c>
      <c r="E3319">
        <f>WEEKNUM(Append321[[#This Row],[Date]])</f>
        <v>26</v>
      </c>
    </row>
    <row r="3320" spans="1:5">
      <c r="A3320" t="s">
        <v>113</v>
      </c>
      <c r="B3320" t="s">
        <v>96</v>
      </c>
      <c r="C3320" s="5">
        <v>45475</v>
      </c>
      <c r="D3320">
        <v>471</v>
      </c>
      <c r="E3320">
        <f>WEEKNUM(Append321[[#This Row],[Date]])</f>
        <v>27</v>
      </c>
    </row>
    <row r="3321" spans="1:5">
      <c r="A3321" t="s">
        <v>113</v>
      </c>
      <c r="B3321" t="s">
        <v>96</v>
      </c>
      <c r="C3321" s="5">
        <v>45476</v>
      </c>
      <c r="D3321">
        <v>541</v>
      </c>
      <c r="E3321">
        <f>WEEKNUM(Append321[[#This Row],[Date]])</f>
        <v>27</v>
      </c>
    </row>
    <row r="3322" spans="1:5">
      <c r="A3322" t="s">
        <v>113</v>
      </c>
      <c r="B3322" t="s">
        <v>96</v>
      </c>
      <c r="C3322" s="5">
        <v>45477</v>
      </c>
      <c r="D3322">
        <v>475</v>
      </c>
      <c r="E3322">
        <f>WEEKNUM(Append321[[#This Row],[Date]])</f>
        <v>27</v>
      </c>
    </row>
    <row r="3323" spans="1:5">
      <c r="A3323" t="s">
        <v>113</v>
      </c>
      <c r="B3323" t="s">
        <v>96</v>
      </c>
      <c r="C3323" s="5">
        <v>45478</v>
      </c>
      <c r="D3323">
        <v>536</v>
      </c>
      <c r="E3323">
        <f>WEEKNUM(Append321[[#This Row],[Date]])</f>
        <v>27</v>
      </c>
    </row>
    <row r="3324" spans="1:5">
      <c r="A3324" t="s">
        <v>113</v>
      </c>
      <c r="B3324" t="s">
        <v>96</v>
      </c>
      <c r="C3324" s="5">
        <v>45479</v>
      </c>
      <c r="D3324">
        <v>467</v>
      </c>
      <c r="E3324">
        <f>WEEKNUM(Append321[[#This Row],[Date]])</f>
        <v>27</v>
      </c>
    </row>
    <row r="3325" spans="1:5">
      <c r="A3325" t="s">
        <v>113</v>
      </c>
      <c r="B3325" t="s">
        <v>96</v>
      </c>
      <c r="C3325" s="5">
        <v>45480</v>
      </c>
      <c r="D3325">
        <v>521</v>
      </c>
      <c r="E3325">
        <f>WEEKNUM(Append321[[#This Row],[Date]])</f>
        <v>28</v>
      </c>
    </row>
    <row r="3326" spans="1:5">
      <c r="A3326" t="s">
        <v>113</v>
      </c>
      <c r="B3326" t="s">
        <v>96</v>
      </c>
      <c r="C3326" s="5">
        <v>45481</v>
      </c>
      <c r="D3326">
        <v>493</v>
      </c>
      <c r="E3326">
        <f>WEEKNUM(Append321[[#This Row],[Date]])</f>
        <v>28</v>
      </c>
    </row>
    <row r="3327" spans="1:5">
      <c r="A3327" t="s">
        <v>113</v>
      </c>
      <c r="B3327" t="s">
        <v>96</v>
      </c>
      <c r="C3327" s="5">
        <v>45482</v>
      </c>
      <c r="D3327">
        <v>568</v>
      </c>
      <c r="E3327">
        <f>WEEKNUM(Append321[[#This Row],[Date]])</f>
        <v>28</v>
      </c>
    </row>
    <row r="3328" spans="1:5">
      <c r="A3328" t="s">
        <v>113</v>
      </c>
      <c r="B3328" t="s">
        <v>96</v>
      </c>
      <c r="C3328" s="5">
        <v>45483</v>
      </c>
      <c r="D3328">
        <v>501</v>
      </c>
      <c r="E3328">
        <f>WEEKNUM(Append321[[#This Row],[Date]])</f>
        <v>28</v>
      </c>
    </row>
    <row r="3329" spans="1:5">
      <c r="A3329" t="s">
        <v>113</v>
      </c>
      <c r="B3329" t="s">
        <v>96</v>
      </c>
      <c r="C3329" s="5">
        <v>45484</v>
      </c>
      <c r="D3329">
        <v>572</v>
      </c>
      <c r="E3329">
        <f>WEEKNUM(Append321[[#This Row],[Date]])</f>
        <v>28</v>
      </c>
    </row>
    <row r="3330" spans="1:5">
      <c r="A3330" t="s">
        <v>113</v>
      </c>
      <c r="B3330" t="s">
        <v>96</v>
      </c>
      <c r="C3330" s="5">
        <v>45485</v>
      </c>
      <c r="D3330">
        <v>540</v>
      </c>
      <c r="E3330">
        <f>WEEKNUM(Append321[[#This Row],[Date]])</f>
        <v>28</v>
      </c>
    </row>
    <row r="3331" spans="1:5">
      <c r="A3331" t="s">
        <v>113</v>
      </c>
      <c r="B3331" t="s">
        <v>96</v>
      </c>
      <c r="C3331" s="5">
        <v>45486</v>
      </c>
      <c r="D3331">
        <v>478</v>
      </c>
      <c r="E3331">
        <f>WEEKNUM(Append321[[#This Row],[Date]])</f>
        <v>28</v>
      </c>
    </row>
    <row r="3332" spans="1:5">
      <c r="A3332" t="s">
        <v>113</v>
      </c>
      <c r="B3332" t="s">
        <v>96</v>
      </c>
      <c r="C3332" s="5">
        <v>45487</v>
      </c>
      <c r="D3332">
        <v>589</v>
      </c>
      <c r="E3332">
        <f>WEEKNUM(Append321[[#This Row],[Date]])</f>
        <v>29</v>
      </c>
    </row>
    <row r="3333" spans="1:5">
      <c r="A3333" t="s">
        <v>113</v>
      </c>
      <c r="B3333" t="s">
        <v>96</v>
      </c>
      <c r="C3333" s="5">
        <v>45488</v>
      </c>
      <c r="D3333">
        <v>485</v>
      </c>
      <c r="E3333">
        <f>WEEKNUM(Append321[[#This Row],[Date]])</f>
        <v>29</v>
      </c>
    </row>
    <row r="3334" spans="1:5">
      <c r="A3334" t="s">
        <v>113</v>
      </c>
      <c r="B3334" t="s">
        <v>96</v>
      </c>
      <c r="C3334" s="5">
        <v>45489</v>
      </c>
      <c r="D3334">
        <v>552</v>
      </c>
      <c r="E3334">
        <f>WEEKNUM(Append321[[#This Row],[Date]])</f>
        <v>29</v>
      </c>
    </row>
    <row r="3335" spans="1:5">
      <c r="A3335" t="s">
        <v>113</v>
      </c>
      <c r="B3335" t="s">
        <v>96</v>
      </c>
      <c r="C3335" s="5">
        <v>45490</v>
      </c>
      <c r="D3335">
        <v>469</v>
      </c>
      <c r="E3335">
        <f>WEEKNUM(Append321[[#This Row],[Date]])</f>
        <v>29</v>
      </c>
    </row>
    <row r="3336" spans="1:5">
      <c r="A3336" t="s">
        <v>113</v>
      </c>
      <c r="B3336" t="s">
        <v>96</v>
      </c>
      <c r="C3336" s="5">
        <v>45491</v>
      </c>
      <c r="D3336">
        <v>531</v>
      </c>
      <c r="E3336">
        <f>WEEKNUM(Append321[[#This Row],[Date]])</f>
        <v>29</v>
      </c>
    </row>
    <row r="3337" spans="1:5">
      <c r="A3337" t="s">
        <v>113</v>
      </c>
      <c r="B3337" t="s">
        <v>96</v>
      </c>
      <c r="C3337" s="5">
        <v>45492</v>
      </c>
      <c r="D3337">
        <v>468</v>
      </c>
      <c r="E3337">
        <f>WEEKNUM(Append321[[#This Row],[Date]])</f>
        <v>29</v>
      </c>
    </row>
    <row r="3338" spans="1:5">
      <c r="A3338" t="s">
        <v>113</v>
      </c>
      <c r="B3338" t="s">
        <v>96</v>
      </c>
      <c r="C3338" s="5">
        <v>45493</v>
      </c>
      <c r="D3338">
        <v>531</v>
      </c>
      <c r="E3338">
        <f>WEEKNUM(Append321[[#This Row],[Date]])</f>
        <v>29</v>
      </c>
    </row>
    <row r="3339" spans="1:5">
      <c r="A3339" t="s">
        <v>113</v>
      </c>
      <c r="B3339" t="s">
        <v>96</v>
      </c>
      <c r="C3339" s="5">
        <v>45494</v>
      </c>
      <c r="D3339">
        <v>543</v>
      </c>
      <c r="E3339">
        <f>WEEKNUM(Append321[[#This Row],[Date]])</f>
        <v>30</v>
      </c>
    </row>
    <row r="3340" spans="1:5">
      <c r="A3340" t="s">
        <v>113</v>
      </c>
      <c r="B3340" t="s">
        <v>96</v>
      </c>
      <c r="C3340" s="5">
        <v>45495</v>
      </c>
      <c r="D3340">
        <v>538</v>
      </c>
      <c r="E3340">
        <f>WEEKNUM(Append321[[#This Row],[Date]])</f>
        <v>30</v>
      </c>
    </row>
    <row r="3341" spans="1:5">
      <c r="A3341" t="s">
        <v>113</v>
      </c>
      <c r="B3341" t="s">
        <v>96</v>
      </c>
      <c r="C3341" s="5">
        <v>45496</v>
      </c>
      <c r="D3341">
        <v>578</v>
      </c>
      <c r="E3341">
        <f>WEEKNUM(Append321[[#This Row],[Date]])</f>
        <v>30</v>
      </c>
    </row>
    <row r="3342" spans="1:5">
      <c r="A3342" t="s">
        <v>113</v>
      </c>
      <c r="B3342" t="s">
        <v>96</v>
      </c>
      <c r="C3342" s="5">
        <v>45522</v>
      </c>
      <c r="D3342">
        <v>133</v>
      </c>
      <c r="E3342">
        <f>WEEKNUM(Append321[[#This Row],[Date]])</f>
        <v>34</v>
      </c>
    </row>
    <row r="3343" spans="1:5">
      <c r="A3343" t="s">
        <v>113</v>
      </c>
      <c r="B3343" t="s">
        <v>96</v>
      </c>
      <c r="C3343" s="5">
        <v>45523</v>
      </c>
      <c r="D3343">
        <v>149</v>
      </c>
      <c r="E3343">
        <f>WEEKNUM(Append321[[#This Row],[Date]])</f>
        <v>34</v>
      </c>
    </row>
    <row r="3344" spans="1:5">
      <c r="A3344" t="s">
        <v>113</v>
      </c>
      <c r="B3344" t="s">
        <v>96</v>
      </c>
      <c r="C3344" s="5">
        <v>45524</v>
      </c>
      <c r="D3344">
        <v>141</v>
      </c>
      <c r="E3344">
        <f>WEEKNUM(Append321[[#This Row],[Date]])</f>
        <v>34</v>
      </c>
    </row>
    <row r="3345" spans="1:5">
      <c r="A3345" t="s">
        <v>113</v>
      </c>
      <c r="B3345" t="s">
        <v>96</v>
      </c>
      <c r="C3345" s="5">
        <v>45525</v>
      </c>
      <c r="D3345">
        <v>134</v>
      </c>
      <c r="E3345">
        <f>WEEKNUM(Append321[[#This Row],[Date]])</f>
        <v>34</v>
      </c>
    </row>
    <row r="3346" spans="1:5">
      <c r="A3346" t="s">
        <v>113</v>
      </c>
      <c r="B3346" t="s">
        <v>96</v>
      </c>
      <c r="C3346" s="5">
        <v>45526</v>
      </c>
      <c r="D3346">
        <v>165</v>
      </c>
      <c r="E3346">
        <f>WEEKNUM(Append321[[#This Row],[Date]])</f>
        <v>34</v>
      </c>
    </row>
    <row r="3347" spans="1:5">
      <c r="A3347" t="s">
        <v>113</v>
      </c>
      <c r="B3347" t="s">
        <v>96</v>
      </c>
      <c r="C3347" s="5">
        <v>45527</v>
      </c>
      <c r="D3347">
        <v>175</v>
      </c>
      <c r="E3347">
        <f>WEEKNUM(Append321[[#This Row],[Date]])</f>
        <v>34</v>
      </c>
    </row>
    <row r="3348" spans="1:5">
      <c r="A3348" t="s">
        <v>113</v>
      </c>
      <c r="B3348" t="s">
        <v>96</v>
      </c>
      <c r="C3348" s="5">
        <v>45528</v>
      </c>
      <c r="D3348">
        <v>151</v>
      </c>
      <c r="E3348">
        <f>WEEKNUM(Append321[[#This Row],[Date]])</f>
        <v>34</v>
      </c>
    </row>
    <row r="3349" spans="1:5">
      <c r="A3349" t="s">
        <v>113</v>
      </c>
      <c r="B3349" t="s">
        <v>96</v>
      </c>
      <c r="C3349" s="5">
        <v>45529</v>
      </c>
      <c r="D3349">
        <v>132</v>
      </c>
      <c r="E3349">
        <f>WEEKNUM(Append321[[#This Row],[Date]])</f>
        <v>35</v>
      </c>
    </row>
    <row r="3350" spans="1:5">
      <c r="A3350" t="s">
        <v>113</v>
      </c>
      <c r="B3350" t="s">
        <v>96</v>
      </c>
      <c r="C3350" s="5">
        <v>45530</v>
      </c>
      <c r="D3350">
        <v>133</v>
      </c>
      <c r="E3350">
        <f>WEEKNUM(Append321[[#This Row],[Date]])</f>
        <v>35</v>
      </c>
    </row>
    <row r="3351" spans="1:5">
      <c r="A3351" t="s">
        <v>113</v>
      </c>
      <c r="B3351" t="s">
        <v>97</v>
      </c>
      <c r="C3351" s="5">
        <v>45444</v>
      </c>
      <c r="D3351">
        <v>80</v>
      </c>
      <c r="E3351">
        <f>WEEKNUM(Append321[[#This Row],[Date]])</f>
        <v>22</v>
      </c>
    </row>
    <row r="3352" spans="1:5">
      <c r="A3352" t="s">
        <v>113</v>
      </c>
      <c r="B3352" t="s">
        <v>97</v>
      </c>
      <c r="C3352" s="5">
        <v>45445</v>
      </c>
      <c r="D3352">
        <v>72</v>
      </c>
      <c r="E3352">
        <f>WEEKNUM(Append321[[#This Row],[Date]])</f>
        <v>23</v>
      </c>
    </row>
    <row r="3353" spans="1:5">
      <c r="A3353" t="s">
        <v>113</v>
      </c>
      <c r="B3353" t="s">
        <v>97</v>
      </c>
      <c r="C3353" s="5">
        <v>45446</v>
      </c>
      <c r="D3353">
        <v>121</v>
      </c>
      <c r="E3353">
        <f>WEEKNUM(Append321[[#This Row],[Date]])</f>
        <v>23</v>
      </c>
    </row>
    <row r="3354" spans="1:5">
      <c r="A3354" t="s">
        <v>113</v>
      </c>
      <c r="B3354" t="s">
        <v>97</v>
      </c>
      <c r="C3354" s="5">
        <v>45447</v>
      </c>
      <c r="D3354">
        <v>108</v>
      </c>
      <c r="E3354">
        <f>WEEKNUM(Append321[[#This Row],[Date]])</f>
        <v>23</v>
      </c>
    </row>
    <row r="3355" spans="1:5">
      <c r="A3355" t="s">
        <v>113</v>
      </c>
      <c r="B3355" t="s">
        <v>97</v>
      </c>
      <c r="C3355" s="5">
        <v>45448</v>
      </c>
      <c r="D3355">
        <v>152</v>
      </c>
      <c r="E3355">
        <f>WEEKNUM(Append321[[#This Row],[Date]])</f>
        <v>23</v>
      </c>
    </row>
    <row r="3356" spans="1:5">
      <c r="A3356" t="s">
        <v>113</v>
      </c>
      <c r="B3356" t="s">
        <v>97</v>
      </c>
      <c r="C3356" s="5">
        <v>45449</v>
      </c>
      <c r="D3356">
        <v>154</v>
      </c>
      <c r="E3356">
        <f>WEEKNUM(Append321[[#This Row],[Date]])</f>
        <v>23</v>
      </c>
    </row>
    <row r="3357" spans="1:5">
      <c r="A3357" t="s">
        <v>113</v>
      </c>
      <c r="B3357" t="s">
        <v>97</v>
      </c>
      <c r="C3357" s="5">
        <v>45450</v>
      </c>
      <c r="D3357">
        <v>208</v>
      </c>
      <c r="E3357">
        <f>WEEKNUM(Append321[[#This Row],[Date]])</f>
        <v>23</v>
      </c>
    </row>
    <row r="3358" spans="1:5">
      <c r="A3358" t="s">
        <v>113</v>
      </c>
      <c r="B3358" t="s">
        <v>97</v>
      </c>
      <c r="C3358" s="5">
        <v>45464</v>
      </c>
      <c r="D3358">
        <v>80</v>
      </c>
      <c r="E3358">
        <f>WEEKNUM(Append321[[#This Row],[Date]])</f>
        <v>25</v>
      </c>
    </row>
    <row r="3359" spans="1:5">
      <c r="A3359" t="s">
        <v>113</v>
      </c>
      <c r="B3359" t="s">
        <v>97</v>
      </c>
      <c r="C3359" s="5">
        <v>45465</v>
      </c>
      <c r="D3359">
        <v>72</v>
      </c>
      <c r="E3359">
        <f>WEEKNUM(Append321[[#This Row],[Date]])</f>
        <v>25</v>
      </c>
    </row>
    <row r="3360" spans="1:5">
      <c r="A3360" t="s">
        <v>113</v>
      </c>
      <c r="B3360" t="s">
        <v>97</v>
      </c>
      <c r="C3360" s="5">
        <v>45466</v>
      </c>
      <c r="D3360">
        <v>121</v>
      </c>
      <c r="E3360">
        <f>WEEKNUM(Append321[[#This Row],[Date]])</f>
        <v>26</v>
      </c>
    </row>
    <row r="3361" spans="1:5">
      <c r="A3361" t="s">
        <v>113</v>
      </c>
      <c r="B3361" t="s">
        <v>97</v>
      </c>
      <c r="C3361" s="5">
        <v>45467</v>
      </c>
      <c r="D3361">
        <v>108</v>
      </c>
      <c r="E3361">
        <f>WEEKNUM(Append321[[#This Row],[Date]])</f>
        <v>26</v>
      </c>
    </row>
    <row r="3362" spans="1:5">
      <c r="A3362" t="s">
        <v>113</v>
      </c>
      <c r="B3362" t="s">
        <v>97</v>
      </c>
      <c r="C3362" s="5">
        <v>45468</v>
      </c>
      <c r="D3362">
        <v>152</v>
      </c>
      <c r="E3362">
        <f>WEEKNUM(Append321[[#This Row],[Date]])</f>
        <v>26</v>
      </c>
    </row>
    <row r="3363" spans="1:5">
      <c r="A3363" t="s">
        <v>113</v>
      </c>
      <c r="B3363" t="s">
        <v>97</v>
      </c>
      <c r="C3363" s="5">
        <v>45469</v>
      </c>
      <c r="D3363">
        <v>154</v>
      </c>
      <c r="E3363">
        <f>WEEKNUM(Append321[[#This Row],[Date]])</f>
        <v>26</v>
      </c>
    </row>
    <row r="3364" spans="1:5">
      <c r="A3364" t="s">
        <v>113</v>
      </c>
      <c r="B3364" t="s">
        <v>97</v>
      </c>
      <c r="C3364" s="5">
        <v>45470</v>
      </c>
      <c r="D3364">
        <v>208</v>
      </c>
      <c r="E3364">
        <f>WEEKNUM(Append321[[#This Row],[Date]])</f>
        <v>26</v>
      </c>
    </row>
    <row r="3365" spans="1:5">
      <c r="A3365" t="s">
        <v>113</v>
      </c>
      <c r="B3365" t="s">
        <v>98</v>
      </c>
      <c r="C3365" s="5">
        <v>45444</v>
      </c>
      <c r="D3365">
        <v>56</v>
      </c>
      <c r="E3365">
        <f>WEEKNUM(Append321[[#This Row],[Date]])</f>
        <v>22</v>
      </c>
    </row>
    <row r="3366" spans="1:5">
      <c r="A3366" t="s">
        <v>113</v>
      </c>
      <c r="B3366" t="s">
        <v>98</v>
      </c>
      <c r="C3366" s="5">
        <v>45445</v>
      </c>
      <c r="D3366">
        <v>59</v>
      </c>
      <c r="E3366">
        <f>WEEKNUM(Append321[[#This Row],[Date]])</f>
        <v>23</v>
      </c>
    </row>
    <row r="3367" spans="1:5">
      <c r="A3367" t="s">
        <v>113</v>
      </c>
      <c r="B3367" t="s">
        <v>98</v>
      </c>
      <c r="C3367" s="5">
        <v>45446</v>
      </c>
      <c r="D3367">
        <v>59</v>
      </c>
      <c r="E3367">
        <f>WEEKNUM(Append321[[#This Row],[Date]])</f>
        <v>23</v>
      </c>
    </row>
    <row r="3368" spans="1:5">
      <c r="A3368" t="s">
        <v>113</v>
      </c>
      <c r="B3368" t="s">
        <v>98</v>
      </c>
      <c r="C3368" s="5">
        <v>45447</v>
      </c>
      <c r="D3368">
        <v>74</v>
      </c>
      <c r="E3368">
        <f>WEEKNUM(Append321[[#This Row],[Date]])</f>
        <v>23</v>
      </c>
    </row>
    <row r="3369" spans="1:5">
      <c r="A3369" t="s">
        <v>113</v>
      </c>
      <c r="B3369" t="s">
        <v>98</v>
      </c>
      <c r="C3369" s="5">
        <v>45448</v>
      </c>
      <c r="D3369">
        <v>112</v>
      </c>
      <c r="E3369">
        <f>WEEKNUM(Append321[[#This Row],[Date]])</f>
        <v>23</v>
      </c>
    </row>
    <row r="3370" spans="1:5">
      <c r="A3370" t="s">
        <v>113</v>
      </c>
      <c r="B3370" t="s">
        <v>98</v>
      </c>
      <c r="C3370" s="5">
        <v>45449</v>
      </c>
      <c r="D3370">
        <v>119</v>
      </c>
      <c r="E3370">
        <f>WEEKNUM(Append321[[#This Row],[Date]])</f>
        <v>23</v>
      </c>
    </row>
    <row r="3371" spans="1:5">
      <c r="A3371" t="s">
        <v>113</v>
      </c>
      <c r="B3371" t="s">
        <v>98</v>
      </c>
      <c r="C3371" s="5">
        <v>45450</v>
      </c>
      <c r="D3371">
        <v>147</v>
      </c>
      <c r="E3371">
        <f>WEEKNUM(Append321[[#This Row],[Date]])</f>
        <v>23</v>
      </c>
    </row>
    <row r="3372" spans="1:5">
      <c r="A3372" t="s">
        <v>113</v>
      </c>
      <c r="B3372" t="s">
        <v>98</v>
      </c>
      <c r="C3372" s="5">
        <v>45464</v>
      </c>
      <c r="D3372">
        <v>56</v>
      </c>
      <c r="E3372">
        <f>WEEKNUM(Append321[[#This Row],[Date]])</f>
        <v>25</v>
      </c>
    </row>
    <row r="3373" spans="1:5">
      <c r="A3373" t="s">
        <v>113</v>
      </c>
      <c r="B3373" t="s">
        <v>98</v>
      </c>
      <c r="C3373" s="5">
        <v>45465</v>
      </c>
      <c r="D3373">
        <v>59</v>
      </c>
      <c r="E3373">
        <f>WEEKNUM(Append321[[#This Row],[Date]])</f>
        <v>25</v>
      </c>
    </row>
    <row r="3374" spans="1:5">
      <c r="A3374" t="s">
        <v>113</v>
      </c>
      <c r="B3374" t="s">
        <v>98</v>
      </c>
      <c r="C3374" s="5">
        <v>45466</v>
      </c>
      <c r="D3374">
        <v>59</v>
      </c>
      <c r="E3374">
        <f>WEEKNUM(Append321[[#This Row],[Date]])</f>
        <v>26</v>
      </c>
    </row>
    <row r="3375" spans="1:5">
      <c r="A3375" t="s">
        <v>113</v>
      </c>
      <c r="B3375" t="s">
        <v>98</v>
      </c>
      <c r="C3375" s="5">
        <v>45467</v>
      </c>
      <c r="D3375">
        <v>74</v>
      </c>
      <c r="E3375">
        <f>WEEKNUM(Append321[[#This Row],[Date]])</f>
        <v>26</v>
      </c>
    </row>
    <row r="3376" spans="1:5">
      <c r="A3376" t="s">
        <v>113</v>
      </c>
      <c r="B3376" t="s">
        <v>98</v>
      </c>
      <c r="C3376" s="5">
        <v>45468</v>
      </c>
      <c r="D3376">
        <v>112</v>
      </c>
      <c r="E3376">
        <f>WEEKNUM(Append321[[#This Row],[Date]])</f>
        <v>26</v>
      </c>
    </row>
    <row r="3377" spans="1:5">
      <c r="A3377" t="s">
        <v>113</v>
      </c>
      <c r="B3377" t="s">
        <v>98</v>
      </c>
      <c r="C3377" s="5">
        <v>45469</v>
      </c>
      <c r="D3377">
        <v>119</v>
      </c>
      <c r="E3377">
        <f>WEEKNUM(Append321[[#This Row],[Date]])</f>
        <v>26</v>
      </c>
    </row>
    <row r="3378" spans="1:5">
      <c r="A3378" t="s">
        <v>113</v>
      </c>
      <c r="B3378" t="s">
        <v>98</v>
      </c>
      <c r="C3378" s="5">
        <v>45470</v>
      </c>
      <c r="D3378">
        <v>147</v>
      </c>
      <c r="E3378">
        <f>WEEKNUM(Append321[[#This Row],[Date]])</f>
        <v>26</v>
      </c>
    </row>
    <row r="3379" spans="1:5">
      <c r="A3379" t="s">
        <v>113</v>
      </c>
      <c r="B3379" t="s">
        <v>99</v>
      </c>
      <c r="C3379" s="5">
        <v>45444</v>
      </c>
      <c r="D3379">
        <v>192</v>
      </c>
      <c r="E3379">
        <f>WEEKNUM(Append321[[#This Row],[Date]])</f>
        <v>22</v>
      </c>
    </row>
    <row r="3380" spans="1:5">
      <c r="A3380" t="s">
        <v>113</v>
      </c>
      <c r="B3380" t="s">
        <v>99</v>
      </c>
      <c r="C3380" s="5">
        <v>45445</v>
      </c>
      <c r="D3380">
        <v>203</v>
      </c>
      <c r="E3380">
        <f>WEEKNUM(Append321[[#This Row],[Date]])</f>
        <v>23</v>
      </c>
    </row>
    <row r="3381" spans="1:5">
      <c r="A3381" t="s">
        <v>113</v>
      </c>
      <c r="B3381" t="s">
        <v>99</v>
      </c>
      <c r="C3381" s="5">
        <v>45446</v>
      </c>
      <c r="D3381">
        <v>223</v>
      </c>
      <c r="E3381">
        <f>WEEKNUM(Append321[[#This Row],[Date]])</f>
        <v>23</v>
      </c>
    </row>
    <row r="3382" spans="1:5">
      <c r="A3382" t="s">
        <v>113</v>
      </c>
      <c r="B3382" t="s">
        <v>99</v>
      </c>
      <c r="C3382" s="5">
        <v>45447</v>
      </c>
      <c r="D3382">
        <v>230</v>
      </c>
      <c r="E3382">
        <f>WEEKNUM(Append321[[#This Row],[Date]])</f>
        <v>23</v>
      </c>
    </row>
    <row r="3383" spans="1:5">
      <c r="A3383" t="s">
        <v>113</v>
      </c>
      <c r="B3383" t="s">
        <v>99</v>
      </c>
      <c r="C3383" s="5">
        <v>45448</v>
      </c>
      <c r="D3383">
        <v>202</v>
      </c>
      <c r="E3383">
        <f>WEEKNUM(Append321[[#This Row],[Date]])</f>
        <v>23</v>
      </c>
    </row>
    <row r="3384" spans="1:5">
      <c r="A3384" t="s">
        <v>113</v>
      </c>
      <c r="B3384" t="s">
        <v>99</v>
      </c>
      <c r="C3384" s="5">
        <v>45449</v>
      </c>
      <c r="D3384">
        <v>239</v>
      </c>
      <c r="E3384">
        <f>WEEKNUM(Append321[[#This Row],[Date]])</f>
        <v>23</v>
      </c>
    </row>
    <row r="3385" spans="1:5">
      <c r="A3385" t="s">
        <v>113</v>
      </c>
      <c r="B3385" t="s">
        <v>99</v>
      </c>
      <c r="C3385" s="5">
        <v>45450</v>
      </c>
      <c r="D3385">
        <v>278</v>
      </c>
      <c r="E3385">
        <f>WEEKNUM(Append321[[#This Row],[Date]])</f>
        <v>23</v>
      </c>
    </row>
    <row r="3386" spans="1:5">
      <c r="A3386" t="s">
        <v>113</v>
      </c>
      <c r="B3386" t="s">
        <v>99</v>
      </c>
      <c r="C3386" s="5">
        <v>45464</v>
      </c>
      <c r="D3386">
        <v>192</v>
      </c>
      <c r="E3386">
        <f>WEEKNUM(Append321[[#This Row],[Date]])</f>
        <v>25</v>
      </c>
    </row>
    <row r="3387" spans="1:5">
      <c r="A3387" t="s">
        <v>113</v>
      </c>
      <c r="B3387" t="s">
        <v>99</v>
      </c>
      <c r="C3387" s="5">
        <v>45465</v>
      </c>
      <c r="D3387">
        <v>203</v>
      </c>
      <c r="E3387">
        <f>WEEKNUM(Append321[[#This Row],[Date]])</f>
        <v>25</v>
      </c>
    </row>
    <row r="3388" spans="1:5">
      <c r="A3388" t="s">
        <v>113</v>
      </c>
      <c r="B3388" t="s">
        <v>99</v>
      </c>
      <c r="C3388" s="5">
        <v>45466</v>
      </c>
      <c r="D3388">
        <v>223</v>
      </c>
      <c r="E3388">
        <f>WEEKNUM(Append321[[#This Row],[Date]])</f>
        <v>26</v>
      </c>
    </row>
    <row r="3389" spans="1:5">
      <c r="A3389" t="s">
        <v>113</v>
      </c>
      <c r="B3389" t="s">
        <v>99</v>
      </c>
      <c r="C3389" s="5">
        <v>45467</v>
      </c>
      <c r="D3389">
        <v>230</v>
      </c>
      <c r="E3389">
        <f>WEEKNUM(Append321[[#This Row],[Date]])</f>
        <v>26</v>
      </c>
    </row>
    <row r="3390" spans="1:5">
      <c r="A3390" t="s">
        <v>113</v>
      </c>
      <c r="B3390" t="s">
        <v>99</v>
      </c>
      <c r="C3390" s="5">
        <v>45468</v>
      </c>
      <c r="D3390">
        <v>202</v>
      </c>
      <c r="E3390">
        <f>WEEKNUM(Append321[[#This Row],[Date]])</f>
        <v>26</v>
      </c>
    </row>
    <row r="3391" spans="1:5">
      <c r="A3391" t="s">
        <v>113</v>
      </c>
      <c r="B3391" t="s">
        <v>99</v>
      </c>
      <c r="C3391" s="5">
        <v>45469</v>
      </c>
      <c r="D3391">
        <v>239</v>
      </c>
      <c r="E3391">
        <f>WEEKNUM(Append321[[#This Row],[Date]])</f>
        <v>26</v>
      </c>
    </row>
    <row r="3392" spans="1:5">
      <c r="A3392" t="s">
        <v>113</v>
      </c>
      <c r="B3392" t="s">
        <v>99</v>
      </c>
      <c r="C3392" s="5">
        <v>45470</v>
      </c>
      <c r="D3392">
        <v>278</v>
      </c>
      <c r="E3392">
        <f>WEEKNUM(Append321[[#This Row],[Date]])</f>
        <v>26</v>
      </c>
    </row>
    <row r="3393" spans="1:5">
      <c r="A3393" t="s">
        <v>113</v>
      </c>
      <c r="B3393" t="s">
        <v>99</v>
      </c>
      <c r="C3393" s="5">
        <v>45475</v>
      </c>
      <c r="D3393">
        <v>245</v>
      </c>
      <c r="E3393">
        <f>WEEKNUM(Append321[[#This Row],[Date]])</f>
        <v>27</v>
      </c>
    </row>
    <row r="3394" spans="1:5">
      <c r="A3394" t="s">
        <v>113</v>
      </c>
      <c r="B3394" t="s">
        <v>99</v>
      </c>
      <c r="C3394" s="5">
        <v>45476</v>
      </c>
      <c r="D3394">
        <v>238</v>
      </c>
      <c r="E3394">
        <f>WEEKNUM(Append321[[#This Row],[Date]])</f>
        <v>27</v>
      </c>
    </row>
    <row r="3395" spans="1:5">
      <c r="A3395" t="s">
        <v>113</v>
      </c>
      <c r="B3395" t="s">
        <v>99</v>
      </c>
      <c r="C3395" s="5">
        <v>45477</v>
      </c>
      <c r="D3395">
        <v>269</v>
      </c>
      <c r="E3395">
        <f>WEEKNUM(Append321[[#This Row],[Date]])</f>
        <v>27</v>
      </c>
    </row>
    <row r="3396" spans="1:5">
      <c r="A3396" t="s">
        <v>113</v>
      </c>
      <c r="B3396" t="s">
        <v>99</v>
      </c>
      <c r="C3396" s="5">
        <v>45478</v>
      </c>
      <c r="D3396">
        <v>271</v>
      </c>
      <c r="E3396">
        <f>WEEKNUM(Append321[[#This Row],[Date]])</f>
        <v>27</v>
      </c>
    </row>
    <row r="3397" spans="1:5">
      <c r="A3397" t="s">
        <v>113</v>
      </c>
      <c r="B3397" t="s">
        <v>99</v>
      </c>
      <c r="C3397" s="5">
        <v>45479</v>
      </c>
      <c r="D3397">
        <v>170</v>
      </c>
      <c r="E3397">
        <f>WEEKNUM(Append321[[#This Row],[Date]])</f>
        <v>27</v>
      </c>
    </row>
    <row r="3398" spans="1:5">
      <c r="A3398" t="s">
        <v>113</v>
      </c>
      <c r="B3398" t="s">
        <v>99</v>
      </c>
      <c r="C3398" s="5">
        <v>45480</v>
      </c>
      <c r="D3398">
        <v>205</v>
      </c>
      <c r="E3398">
        <f>WEEKNUM(Append321[[#This Row],[Date]])</f>
        <v>28</v>
      </c>
    </row>
    <row r="3399" spans="1:5">
      <c r="A3399" t="s">
        <v>113</v>
      </c>
      <c r="B3399" t="s">
        <v>99</v>
      </c>
      <c r="C3399" s="5">
        <v>45481</v>
      </c>
      <c r="D3399">
        <v>200</v>
      </c>
      <c r="E3399">
        <f>WEEKNUM(Append321[[#This Row],[Date]])</f>
        <v>28</v>
      </c>
    </row>
    <row r="3400" spans="1:5">
      <c r="A3400" t="s">
        <v>113</v>
      </c>
      <c r="B3400" t="s">
        <v>99</v>
      </c>
      <c r="C3400" s="5">
        <v>45482</v>
      </c>
      <c r="D3400">
        <v>239</v>
      </c>
      <c r="E3400">
        <f>WEEKNUM(Append321[[#This Row],[Date]])</f>
        <v>28</v>
      </c>
    </row>
    <row r="3401" spans="1:5">
      <c r="A3401" t="s">
        <v>113</v>
      </c>
      <c r="B3401" t="s">
        <v>99</v>
      </c>
      <c r="C3401" s="5">
        <v>45483</v>
      </c>
      <c r="D3401">
        <v>205</v>
      </c>
      <c r="E3401">
        <f>WEEKNUM(Append321[[#This Row],[Date]])</f>
        <v>28</v>
      </c>
    </row>
    <row r="3402" spans="1:5">
      <c r="A3402" t="s">
        <v>113</v>
      </c>
      <c r="B3402" t="s">
        <v>99</v>
      </c>
      <c r="C3402" s="5">
        <v>45484</v>
      </c>
      <c r="D3402">
        <v>289</v>
      </c>
      <c r="E3402">
        <f>WEEKNUM(Append321[[#This Row],[Date]])</f>
        <v>28</v>
      </c>
    </row>
    <row r="3403" spans="1:5">
      <c r="A3403" t="s">
        <v>113</v>
      </c>
      <c r="B3403" t="s">
        <v>99</v>
      </c>
      <c r="C3403" s="5">
        <v>45485</v>
      </c>
      <c r="D3403">
        <v>289</v>
      </c>
      <c r="E3403">
        <f>WEEKNUM(Append321[[#This Row],[Date]])</f>
        <v>28</v>
      </c>
    </row>
    <row r="3404" spans="1:5">
      <c r="A3404" t="s">
        <v>113</v>
      </c>
      <c r="B3404" t="s">
        <v>99</v>
      </c>
      <c r="C3404" s="5">
        <v>45486</v>
      </c>
      <c r="D3404">
        <v>205</v>
      </c>
      <c r="E3404">
        <f>WEEKNUM(Append321[[#This Row],[Date]])</f>
        <v>28</v>
      </c>
    </row>
    <row r="3405" spans="1:5">
      <c r="A3405" t="s">
        <v>113</v>
      </c>
      <c r="B3405" t="s">
        <v>99</v>
      </c>
      <c r="C3405" s="5">
        <v>45487</v>
      </c>
      <c r="D3405">
        <v>213</v>
      </c>
      <c r="E3405">
        <f>WEEKNUM(Append321[[#This Row],[Date]])</f>
        <v>29</v>
      </c>
    </row>
    <row r="3406" spans="1:5">
      <c r="A3406" t="s">
        <v>113</v>
      </c>
      <c r="B3406" t="s">
        <v>99</v>
      </c>
      <c r="C3406" s="5">
        <v>45488</v>
      </c>
      <c r="D3406">
        <v>190</v>
      </c>
      <c r="E3406">
        <f>WEEKNUM(Append321[[#This Row],[Date]])</f>
        <v>29</v>
      </c>
    </row>
    <row r="3407" spans="1:5">
      <c r="A3407" t="s">
        <v>113</v>
      </c>
      <c r="B3407" t="s">
        <v>99</v>
      </c>
      <c r="C3407" s="5">
        <v>45489</v>
      </c>
      <c r="D3407">
        <v>236</v>
      </c>
      <c r="E3407">
        <f>WEEKNUM(Append321[[#This Row],[Date]])</f>
        <v>29</v>
      </c>
    </row>
    <row r="3408" spans="1:5">
      <c r="A3408" t="s">
        <v>113</v>
      </c>
      <c r="B3408" t="s">
        <v>99</v>
      </c>
      <c r="C3408" s="5">
        <v>45490</v>
      </c>
      <c r="D3408">
        <v>225</v>
      </c>
      <c r="E3408">
        <f>WEEKNUM(Append321[[#This Row],[Date]])</f>
        <v>29</v>
      </c>
    </row>
    <row r="3409" spans="1:5">
      <c r="A3409" t="s">
        <v>113</v>
      </c>
      <c r="B3409" t="s">
        <v>99</v>
      </c>
      <c r="C3409" s="5">
        <v>45491</v>
      </c>
      <c r="D3409">
        <v>259</v>
      </c>
      <c r="E3409">
        <f>WEEKNUM(Append321[[#This Row],[Date]])</f>
        <v>29</v>
      </c>
    </row>
    <row r="3410" spans="1:5">
      <c r="A3410" t="s">
        <v>113</v>
      </c>
      <c r="B3410" t="s">
        <v>99</v>
      </c>
      <c r="C3410" s="5">
        <v>45492</v>
      </c>
      <c r="D3410">
        <v>277</v>
      </c>
      <c r="E3410">
        <f>WEEKNUM(Append321[[#This Row],[Date]])</f>
        <v>29</v>
      </c>
    </row>
    <row r="3411" spans="1:5">
      <c r="A3411" t="s">
        <v>113</v>
      </c>
      <c r="B3411" t="s">
        <v>99</v>
      </c>
      <c r="C3411" s="5">
        <v>45493</v>
      </c>
      <c r="D3411">
        <v>202</v>
      </c>
      <c r="E3411">
        <f>WEEKNUM(Append321[[#This Row],[Date]])</f>
        <v>29</v>
      </c>
    </row>
    <row r="3412" spans="1:5">
      <c r="A3412" t="s">
        <v>113</v>
      </c>
      <c r="B3412" t="s">
        <v>99</v>
      </c>
      <c r="C3412" s="5">
        <v>45494</v>
      </c>
      <c r="D3412">
        <v>185</v>
      </c>
      <c r="E3412">
        <f>WEEKNUM(Append321[[#This Row],[Date]])</f>
        <v>30</v>
      </c>
    </row>
    <row r="3413" spans="1:5">
      <c r="A3413" t="s">
        <v>113</v>
      </c>
      <c r="B3413" t="s">
        <v>99</v>
      </c>
      <c r="C3413" s="5">
        <v>45495</v>
      </c>
      <c r="D3413">
        <v>164</v>
      </c>
      <c r="E3413">
        <f>WEEKNUM(Append321[[#This Row],[Date]])</f>
        <v>30</v>
      </c>
    </row>
    <row r="3414" spans="1:5">
      <c r="A3414" t="s">
        <v>113</v>
      </c>
      <c r="B3414" t="s">
        <v>99</v>
      </c>
      <c r="C3414" s="5">
        <v>45496</v>
      </c>
      <c r="D3414">
        <v>187</v>
      </c>
      <c r="E3414">
        <f>WEEKNUM(Append321[[#This Row],[Date]])</f>
        <v>30</v>
      </c>
    </row>
    <row r="3415" spans="1:5">
      <c r="A3415" t="s">
        <v>113</v>
      </c>
      <c r="B3415" t="s">
        <v>99</v>
      </c>
      <c r="C3415" s="5">
        <v>45522</v>
      </c>
      <c r="D3415">
        <v>97</v>
      </c>
      <c r="E3415">
        <f>WEEKNUM(Append321[[#This Row],[Date]])</f>
        <v>34</v>
      </c>
    </row>
    <row r="3416" spans="1:5">
      <c r="A3416" t="s">
        <v>113</v>
      </c>
      <c r="B3416" t="s">
        <v>99</v>
      </c>
      <c r="C3416" s="5">
        <v>45523</v>
      </c>
      <c r="D3416">
        <v>77</v>
      </c>
      <c r="E3416">
        <f>WEEKNUM(Append321[[#This Row],[Date]])</f>
        <v>34</v>
      </c>
    </row>
    <row r="3417" spans="1:5">
      <c r="A3417" t="s">
        <v>113</v>
      </c>
      <c r="B3417" t="s">
        <v>99</v>
      </c>
      <c r="C3417" s="5">
        <v>45524</v>
      </c>
      <c r="D3417">
        <v>84</v>
      </c>
      <c r="E3417">
        <f>WEEKNUM(Append321[[#This Row],[Date]])</f>
        <v>34</v>
      </c>
    </row>
    <row r="3418" spans="1:5">
      <c r="A3418" t="s">
        <v>113</v>
      </c>
      <c r="B3418" t="s">
        <v>99</v>
      </c>
      <c r="C3418" s="5">
        <v>45525</v>
      </c>
      <c r="D3418">
        <v>81</v>
      </c>
      <c r="E3418">
        <f>WEEKNUM(Append321[[#This Row],[Date]])</f>
        <v>34</v>
      </c>
    </row>
    <row r="3419" spans="1:5">
      <c r="A3419" t="s">
        <v>113</v>
      </c>
      <c r="B3419" t="s">
        <v>99</v>
      </c>
      <c r="C3419" s="5">
        <v>45526</v>
      </c>
      <c r="D3419">
        <v>62</v>
      </c>
      <c r="E3419">
        <f>WEEKNUM(Append321[[#This Row],[Date]])</f>
        <v>34</v>
      </c>
    </row>
    <row r="3420" spans="1:5">
      <c r="A3420" t="s">
        <v>113</v>
      </c>
      <c r="B3420" t="s">
        <v>99</v>
      </c>
      <c r="C3420" s="5">
        <v>45527</v>
      </c>
      <c r="D3420">
        <v>79</v>
      </c>
      <c r="E3420">
        <f>WEEKNUM(Append321[[#This Row],[Date]])</f>
        <v>34</v>
      </c>
    </row>
    <row r="3421" spans="1:5">
      <c r="A3421" t="s">
        <v>113</v>
      </c>
      <c r="B3421" t="s">
        <v>99</v>
      </c>
      <c r="C3421" s="5">
        <v>45528</v>
      </c>
      <c r="D3421">
        <v>77</v>
      </c>
      <c r="E3421">
        <f>WEEKNUM(Append321[[#This Row],[Date]])</f>
        <v>34</v>
      </c>
    </row>
    <row r="3422" spans="1:5">
      <c r="A3422" t="s">
        <v>113</v>
      </c>
      <c r="B3422" t="s">
        <v>99</v>
      </c>
      <c r="C3422" s="5">
        <v>45529</v>
      </c>
      <c r="D3422">
        <v>89</v>
      </c>
      <c r="E3422">
        <f>WEEKNUM(Append321[[#This Row],[Date]])</f>
        <v>35</v>
      </c>
    </row>
    <row r="3423" spans="1:5">
      <c r="A3423" t="s">
        <v>113</v>
      </c>
      <c r="B3423" t="s">
        <v>99</v>
      </c>
      <c r="C3423" s="5">
        <v>45530</v>
      </c>
      <c r="D3423">
        <v>70</v>
      </c>
      <c r="E3423">
        <f>WEEKNUM(Append321[[#This Row],[Date]])</f>
        <v>35</v>
      </c>
    </row>
    <row r="3424" spans="1:5">
      <c r="A3424" t="s">
        <v>113</v>
      </c>
      <c r="B3424" t="s">
        <v>100</v>
      </c>
      <c r="C3424" s="5">
        <v>45444</v>
      </c>
      <c r="D3424">
        <v>171</v>
      </c>
      <c r="E3424">
        <f>WEEKNUM(Append321[[#This Row],[Date]])</f>
        <v>22</v>
      </c>
    </row>
    <row r="3425" spans="1:5">
      <c r="A3425" t="s">
        <v>113</v>
      </c>
      <c r="B3425" t="s">
        <v>100</v>
      </c>
      <c r="C3425" s="5">
        <v>45445</v>
      </c>
      <c r="D3425">
        <v>164</v>
      </c>
      <c r="E3425">
        <f>WEEKNUM(Append321[[#This Row],[Date]])</f>
        <v>23</v>
      </c>
    </row>
    <row r="3426" spans="1:5">
      <c r="A3426" t="s">
        <v>113</v>
      </c>
      <c r="B3426" t="s">
        <v>100</v>
      </c>
      <c r="C3426" s="5">
        <v>45446</v>
      </c>
      <c r="D3426">
        <v>212</v>
      </c>
      <c r="E3426">
        <f>WEEKNUM(Append321[[#This Row],[Date]])</f>
        <v>23</v>
      </c>
    </row>
    <row r="3427" spans="1:5">
      <c r="A3427" t="s">
        <v>113</v>
      </c>
      <c r="B3427" t="s">
        <v>100</v>
      </c>
      <c r="C3427" s="5">
        <v>45447</v>
      </c>
      <c r="D3427">
        <v>238</v>
      </c>
      <c r="E3427">
        <f>WEEKNUM(Append321[[#This Row],[Date]])</f>
        <v>23</v>
      </c>
    </row>
    <row r="3428" spans="1:5">
      <c r="A3428" t="s">
        <v>113</v>
      </c>
      <c r="B3428" t="s">
        <v>100</v>
      </c>
      <c r="C3428" s="5">
        <v>45448</v>
      </c>
      <c r="D3428">
        <v>197</v>
      </c>
      <c r="E3428">
        <f>WEEKNUM(Append321[[#This Row],[Date]])</f>
        <v>23</v>
      </c>
    </row>
    <row r="3429" spans="1:5">
      <c r="A3429" t="s">
        <v>113</v>
      </c>
      <c r="B3429" t="s">
        <v>100</v>
      </c>
      <c r="C3429" s="5">
        <v>45449</v>
      </c>
      <c r="D3429">
        <v>278</v>
      </c>
      <c r="E3429">
        <f>WEEKNUM(Append321[[#This Row],[Date]])</f>
        <v>23</v>
      </c>
    </row>
    <row r="3430" spans="1:5">
      <c r="A3430" t="s">
        <v>113</v>
      </c>
      <c r="B3430" t="s">
        <v>100</v>
      </c>
      <c r="C3430" s="5">
        <v>45450</v>
      </c>
      <c r="D3430">
        <v>291</v>
      </c>
      <c r="E3430">
        <f>WEEKNUM(Append321[[#This Row],[Date]])</f>
        <v>23</v>
      </c>
    </row>
    <row r="3431" spans="1:5">
      <c r="A3431" t="s">
        <v>113</v>
      </c>
      <c r="B3431" t="s">
        <v>100</v>
      </c>
      <c r="C3431" s="5">
        <v>45464</v>
      </c>
      <c r="D3431">
        <v>171</v>
      </c>
      <c r="E3431">
        <f>WEEKNUM(Append321[[#This Row],[Date]])</f>
        <v>25</v>
      </c>
    </row>
    <row r="3432" spans="1:5">
      <c r="A3432" t="s">
        <v>113</v>
      </c>
      <c r="B3432" t="s">
        <v>100</v>
      </c>
      <c r="C3432" s="5">
        <v>45465</v>
      </c>
      <c r="D3432">
        <v>164</v>
      </c>
      <c r="E3432">
        <f>WEEKNUM(Append321[[#This Row],[Date]])</f>
        <v>25</v>
      </c>
    </row>
    <row r="3433" spans="1:5">
      <c r="A3433" t="s">
        <v>113</v>
      </c>
      <c r="B3433" t="s">
        <v>100</v>
      </c>
      <c r="C3433" s="5">
        <v>45466</v>
      </c>
      <c r="D3433">
        <v>212</v>
      </c>
      <c r="E3433">
        <f>WEEKNUM(Append321[[#This Row],[Date]])</f>
        <v>26</v>
      </c>
    </row>
    <row r="3434" spans="1:5">
      <c r="A3434" t="s">
        <v>113</v>
      </c>
      <c r="B3434" t="s">
        <v>100</v>
      </c>
      <c r="C3434" s="5">
        <v>45467</v>
      </c>
      <c r="D3434">
        <v>238</v>
      </c>
      <c r="E3434">
        <f>WEEKNUM(Append321[[#This Row],[Date]])</f>
        <v>26</v>
      </c>
    </row>
    <row r="3435" spans="1:5">
      <c r="A3435" t="s">
        <v>113</v>
      </c>
      <c r="B3435" t="s">
        <v>100</v>
      </c>
      <c r="C3435" s="5">
        <v>45468</v>
      </c>
      <c r="D3435">
        <v>197</v>
      </c>
      <c r="E3435">
        <f>WEEKNUM(Append321[[#This Row],[Date]])</f>
        <v>26</v>
      </c>
    </row>
    <row r="3436" spans="1:5">
      <c r="A3436" t="s">
        <v>113</v>
      </c>
      <c r="B3436" t="s">
        <v>100</v>
      </c>
      <c r="C3436" s="5">
        <v>45469</v>
      </c>
      <c r="D3436">
        <v>278</v>
      </c>
      <c r="E3436">
        <f>WEEKNUM(Append321[[#This Row],[Date]])</f>
        <v>26</v>
      </c>
    </row>
    <row r="3437" spans="1:5">
      <c r="A3437" t="s">
        <v>113</v>
      </c>
      <c r="B3437" t="s">
        <v>100</v>
      </c>
      <c r="C3437" s="5">
        <v>45470</v>
      </c>
      <c r="D3437">
        <v>291</v>
      </c>
      <c r="E3437">
        <f>WEEKNUM(Append321[[#This Row],[Date]])</f>
        <v>26</v>
      </c>
    </row>
    <row r="3438" spans="1:5">
      <c r="A3438" t="s">
        <v>113</v>
      </c>
      <c r="B3438" t="s">
        <v>100</v>
      </c>
      <c r="C3438" s="5">
        <v>45475</v>
      </c>
      <c r="D3438">
        <v>180</v>
      </c>
      <c r="E3438">
        <f>WEEKNUM(Append321[[#This Row],[Date]])</f>
        <v>27</v>
      </c>
    </row>
    <row r="3439" spans="1:5">
      <c r="A3439" t="s">
        <v>113</v>
      </c>
      <c r="B3439" t="s">
        <v>100</v>
      </c>
      <c r="C3439" s="5">
        <v>45476</v>
      </c>
      <c r="D3439">
        <v>234</v>
      </c>
      <c r="E3439">
        <f>WEEKNUM(Append321[[#This Row],[Date]])</f>
        <v>27</v>
      </c>
    </row>
    <row r="3440" spans="1:5">
      <c r="A3440" t="s">
        <v>113</v>
      </c>
      <c r="B3440" t="s">
        <v>100</v>
      </c>
      <c r="C3440" s="5">
        <v>45477</v>
      </c>
      <c r="D3440">
        <v>260</v>
      </c>
      <c r="E3440">
        <f>WEEKNUM(Append321[[#This Row],[Date]])</f>
        <v>27</v>
      </c>
    </row>
    <row r="3441" spans="1:5">
      <c r="A3441" t="s">
        <v>113</v>
      </c>
      <c r="B3441" t="s">
        <v>100</v>
      </c>
      <c r="C3441" s="5">
        <v>45478</v>
      </c>
      <c r="D3441">
        <v>265</v>
      </c>
      <c r="E3441">
        <f>WEEKNUM(Append321[[#This Row],[Date]])</f>
        <v>27</v>
      </c>
    </row>
    <row r="3442" spans="1:5">
      <c r="A3442" t="s">
        <v>113</v>
      </c>
      <c r="B3442" t="s">
        <v>100</v>
      </c>
      <c r="C3442" s="5">
        <v>45479</v>
      </c>
      <c r="D3442">
        <v>189</v>
      </c>
      <c r="E3442">
        <f>WEEKNUM(Append321[[#This Row],[Date]])</f>
        <v>27</v>
      </c>
    </row>
    <row r="3443" spans="1:5">
      <c r="A3443" t="s">
        <v>113</v>
      </c>
      <c r="B3443" t="s">
        <v>100</v>
      </c>
      <c r="C3443" s="5">
        <v>45480</v>
      </c>
      <c r="D3443">
        <v>183</v>
      </c>
      <c r="E3443">
        <f>WEEKNUM(Append321[[#This Row],[Date]])</f>
        <v>28</v>
      </c>
    </row>
    <row r="3444" spans="1:5">
      <c r="A3444" t="s">
        <v>113</v>
      </c>
      <c r="B3444" t="s">
        <v>100</v>
      </c>
      <c r="C3444" s="5">
        <v>45481</v>
      </c>
      <c r="D3444">
        <v>176</v>
      </c>
      <c r="E3444">
        <f>WEEKNUM(Append321[[#This Row],[Date]])</f>
        <v>28</v>
      </c>
    </row>
    <row r="3445" spans="1:5">
      <c r="A3445" t="s">
        <v>113</v>
      </c>
      <c r="B3445" t="s">
        <v>100</v>
      </c>
      <c r="C3445" s="5">
        <v>45482</v>
      </c>
      <c r="D3445">
        <v>179</v>
      </c>
      <c r="E3445">
        <f>WEEKNUM(Append321[[#This Row],[Date]])</f>
        <v>28</v>
      </c>
    </row>
    <row r="3446" spans="1:5">
      <c r="A3446" t="s">
        <v>113</v>
      </c>
      <c r="B3446" t="s">
        <v>100</v>
      </c>
      <c r="C3446" s="5">
        <v>45483</v>
      </c>
      <c r="D3446">
        <v>193</v>
      </c>
      <c r="E3446">
        <f>WEEKNUM(Append321[[#This Row],[Date]])</f>
        <v>28</v>
      </c>
    </row>
    <row r="3447" spans="1:5">
      <c r="A3447" t="s">
        <v>113</v>
      </c>
      <c r="B3447" t="s">
        <v>100</v>
      </c>
      <c r="C3447" s="5">
        <v>45484</v>
      </c>
      <c r="D3447">
        <v>250</v>
      </c>
      <c r="E3447">
        <f>WEEKNUM(Append321[[#This Row],[Date]])</f>
        <v>28</v>
      </c>
    </row>
    <row r="3448" spans="1:5">
      <c r="A3448" t="s">
        <v>113</v>
      </c>
      <c r="B3448" t="s">
        <v>100</v>
      </c>
      <c r="C3448" s="5">
        <v>45485</v>
      </c>
      <c r="D3448">
        <v>227</v>
      </c>
      <c r="E3448">
        <f>WEEKNUM(Append321[[#This Row],[Date]])</f>
        <v>28</v>
      </c>
    </row>
    <row r="3449" spans="1:5">
      <c r="A3449" t="s">
        <v>113</v>
      </c>
      <c r="B3449" t="s">
        <v>100</v>
      </c>
      <c r="C3449" s="5">
        <v>45486</v>
      </c>
      <c r="D3449">
        <v>175</v>
      </c>
      <c r="E3449">
        <f>WEEKNUM(Append321[[#This Row],[Date]])</f>
        <v>28</v>
      </c>
    </row>
    <row r="3450" spans="1:5">
      <c r="A3450" t="s">
        <v>113</v>
      </c>
      <c r="B3450" t="s">
        <v>100</v>
      </c>
      <c r="C3450" s="5">
        <v>45487</v>
      </c>
      <c r="D3450">
        <v>209</v>
      </c>
      <c r="E3450">
        <f>WEEKNUM(Append321[[#This Row],[Date]])</f>
        <v>29</v>
      </c>
    </row>
    <row r="3451" spans="1:5">
      <c r="A3451" t="s">
        <v>113</v>
      </c>
      <c r="B3451" t="s">
        <v>100</v>
      </c>
      <c r="C3451" s="5">
        <v>45488</v>
      </c>
      <c r="D3451">
        <v>142</v>
      </c>
      <c r="E3451">
        <f>WEEKNUM(Append321[[#This Row],[Date]])</f>
        <v>29</v>
      </c>
    </row>
    <row r="3452" spans="1:5">
      <c r="A3452" t="s">
        <v>113</v>
      </c>
      <c r="B3452" t="s">
        <v>100</v>
      </c>
      <c r="C3452" s="5">
        <v>45489</v>
      </c>
      <c r="D3452">
        <v>182</v>
      </c>
      <c r="E3452">
        <f>WEEKNUM(Append321[[#This Row],[Date]])</f>
        <v>29</v>
      </c>
    </row>
    <row r="3453" spans="1:5">
      <c r="A3453" t="s">
        <v>113</v>
      </c>
      <c r="B3453" t="s">
        <v>100</v>
      </c>
      <c r="C3453" s="5">
        <v>45490</v>
      </c>
      <c r="D3453">
        <v>198</v>
      </c>
      <c r="E3453">
        <f>WEEKNUM(Append321[[#This Row],[Date]])</f>
        <v>29</v>
      </c>
    </row>
    <row r="3454" spans="1:5">
      <c r="A3454" t="s">
        <v>113</v>
      </c>
      <c r="B3454" t="s">
        <v>100</v>
      </c>
      <c r="C3454" s="5">
        <v>45491</v>
      </c>
      <c r="D3454">
        <v>224</v>
      </c>
      <c r="E3454">
        <f>WEEKNUM(Append321[[#This Row],[Date]])</f>
        <v>29</v>
      </c>
    </row>
    <row r="3455" spans="1:5">
      <c r="A3455" t="s">
        <v>113</v>
      </c>
      <c r="B3455" t="s">
        <v>100</v>
      </c>
      <c r="C3455" s="5">
        <v>45492</v>
      </c>
      <c r="D3455">
        <v>242</v>
      </c>
      <c r="E3455">
        <f>WEEKNUM(Append321[[#This Row],[Date]])</f>
        <v>29</v>
      </c>
    </row>
    <row r="3456" spans="1:5">
      <c r="A3456" t="s">
        <v>113</v>
      </c>
      <c r="B3456" t="s">
        <v>100</v>
      </c>
      <c r="C3456" s="5">
        <v>45493</v>
      </c>
      <c r="D3456">
        <v>182</v>
      </c>
      <c r="E3456">
        <f>WEEKNUM(Append321[[#This Row],[Date]])</f>
        <v>29</v>
      </c>
    </row>
    <row r="3457" spans="1:5">
      <c r="A3457" t="s">
        <v>113</v>
      </c>
      <c r="B3457" t="s">
        <v>100</v>
      </c>
      <c r="C3457" s="5">
        <v>45494</v>
      </c>
      <c r="D3457">
        <v>133</v>
      </c>
      <c r="E3457">
        <f>WEEKNUM(Append321[[#This Row],[Date]])</f>
        <v>30</v>
      </c>
    </row>
    <row r="3458" spans="1:5">
      <c r="A3458" t="s">
        <v>113</v>
      </c>
      <c r="B3458" t="s">
        <v>100</v>
      </c>
      <c r="C3458" s="5">
        <v>45495</v>
      </c>
      <c r="D3458">
        <v>156</v>
      </c>
      <c r="E3458">
        <f>WEEKNUM(Append321[[#This Row],[Date]])</f>
        <v>30</v>
      </c>
    </row>
    <row r="3459" spans="1:5">
      <c r="A3459" t="s">
        <v>113</v>
      </c>
      <c r="B3459" t="s">
        <v>100</v>
      </c>
      <c r="C3459" s="5">
        <v>45496</v>
      </c>
      <c r="D3459">
        <v>186</v>
      </c>
      <c r="E3459">
        <f>WEEKNUM(Append321[[#This Row],[Date]])</f>
        <v>30</v>
      </c>
    </row>
    <row r="3460" spans="1:5">
      <c r="A3460" t="s">
        <v>113</v>
      </c>
      <c r="B3460" t="s">
        <v>100</v>
      </c>
      <c r="C3460" s="5">
        <v>45522</v>
      </c>
      <c r="D3460">
        <v>71</v>
      </c>
      <c r="E3460">
        <f>WEEKNUM(Append321[[#This Row],[Date]])</f>
        <v>34</v>
      </c>
    </row>
    <row r="3461" spans="1:5">
      <c r="A3461" t="s">
        <v>113</v>
      </c>
      <c r="B3461" t="s">
        <v>100</v>
      </c>
      <c r="C3461" s="5">
        <v>45523</v>
      </c>
      <c r="D3461">
        <v>71</v>
      </c>
      <c r="E3461">
        <f>WEEKNUM(Append321[[#This Row],[Date]])</f>
        <v>34</v>
      </c>
    </row>
    <row r="3462" spans="1:5">
      <c r="A3462" t="s">
        <v>113</v>
      </c>
      <c r="B3462" t="s">
        <v>100</v>
      </c>
      <c r="C3462" s="5">
        <v>45524</v>
      </c>
      <c r="D3462">
        <v>56</v>
      </c>
      <c r="E3462">
        <f>WEEKNUM(Append321[[#This Row],[Date]])</f>
        <v>34</v>
      </c>
    </row>
    <row r="3463" spans="1:5">
      <c r="A3463" t="s">
        <v>113</v>
      </c>
      <c r="B3463" t="s">
        <v>100</v>
      </c>
      <c r="C3463" s="5">
        <v>45525</v>
      </c>
      <c r="D3463">
        <v>53</v>
      </c>
      <c r="E3463">
        <f>WEEKNUM(Append321[[#This Row],[Date]])</f>
        <v>34</v>
      </c>
    </row>
    <row r="3464" spans="1:5">
      <c r="A3464" t="s">
        <v>113</v>
      </c>
      <c r="B3464" t="s">
        <v>100</v>
      </c>
      <c r="C3464" s="5">
        <v>45526</v>
      </c>
      <c r="D3464">
        <v>66</v>
      </c>
      <c r="E3464">
        <f>WEEKNUM(Append321[[#This Row],[Date]])</f>
        <v>34</v>
      </c>
    </row>
    <row r="3465" spans="1:5">
      <c r="A3465" t="s">
        <v>113</v>
      </c>
      <c r="B3465" t="s">
        <v>100</v>
      </c>
      <c r="C3465" s="5">
        <v>45527</v>
      </c>
      <c r="D3465">
        <v>69</v>
      </c>
      <c r="E3465">
        <f>WEEKNUM(Append321[[#This Row],[Date]])</f>
        <v>34</v>
      </c>
    </row>
    <row r="3466" spans="1:5">
      <c r="A3466" t="s">
        <v>113</v>
      </c>
      <c r="B3466" t="s">
        <v>100</v>
      </c>
      <c r="C3466" s="5">
        <v>45528</v>
      </c>
      <c r="D3466">
        <v>63</v>
      </c>
      <c r="E3466">
        <f>WEEKNUM(Append321[[#This Row],[Date]])</f>
        <v>34</v>
      </c>
    </row>
    <row r="3467" spans="1:5">
      <c r="A3467" t="s">
        <v>113</v>
      </c>
      <c r="B3467" t="s">
        <v>100</v>
      </c>
      <c r="C3467" s="5">
        <v>45529</v>
      </c>
      <c r="D3467">
        <v>72</v>
      </c>
      <c r="E3467">
        <f>WEEKNUM(Append321[[#This Row],[Date]])</f>
        <v>35</v>
      </c>
    </row>
    <row r="3468" spans="1:5">
      <c r="A3468" t="s">
        <v>113</v>
      </c>
      <c r="B3468" t="s">
        <v>100</v>
      </c>
      <c r="C3468" s="5">
        <v>45530</v>
      </c>
      <c r="D3468">
        <v>57</v>
      </c>
      <c r="E3468">
        <f>WEEKNUM(Append321[[#This Row],[Date]])</f>
        <v>35</v>
      </c>
    </row>
    <row r="3469" spans="1:5">
      <c r="A3469" t="s">
        <v>113</v>
      </c>
      <c r="B3469" t="s">
        <v>101</v>
      </c>
      <c r="C3469" s="5">
        <v>45444</v>
      </c>
      <c r="D3469">
        <v>120</v>
      </c>
      <c r="E3469">
        <f>WEEKNUM(Append321[[#This Row],[Date]])</f>
        <v>22</v>
      </c>
    </row>
    <row r="3470" spans="1:5">
      <c r="A3470" t="s">
        <v>113</v>
      </c>
      <c r="B3470" t="s">
        <v>101</v>
      </c>
      <c r="C3470" s="5">
        <v>45445</v>
      </c>
      <c r="D3470">
        <v>141</v>
      </c>
      <c r="E3470">
        <f>WEEKNUM(Append321[[#This Row],[Date]])</f>
        <v>23</v>
      </c>
    </row>
    <row r="3471" spans="1:5">
      <c r="A3471" t="s">
        <v>113</v>
      </c>
      <c r="B3471" t="s">
        <v>101</v>
      </c>
      <c r="C3471" s="5">
        <v>45446</v>
      </c>
      <c r="D3471">
        <v>158</v>
      </c>
      <c r="E3471">
        <f>WEEKNUM(Append321[[#This Row],[Date]])</f>
        <v>23</v>
      </c>
    </row>
    <row r="3472" spans="1:5">
      <c r="A3472" t="s">
        <v>113</v>
      </c>
      <c r="B3472" t="s">
        <v>101</v>
      </c>
      <c r="C3472" s="5">
        <v>45447</v>
      </c>
      <c r="D3472">
        <v>134</v>
      </c>
      <c r="E3472">
        <f>WEEKNUM(Append321[[#This Row],[Date]])</f>
        <v>23</v>
      </c>
    </row>
    <row r="3473" spans="1:5">
      <c r="A3473" t="s">
        <v>113</v>
      </c>
      <c r="B3473" t="s">
        <v>101</v>
      </c>
      <c r="C3473" s="5">
        <v>45448</v>
      </c>
      <c r="D3473">
        <v>144</v>
      </c>
      <c r="E3473">
        <f>WEEKNUM(Append321[[#This Row],[Date]])</f>
        <v>23</v>
      </c>
    </row>
    <row r="3474" spans="1:5">
      <c r="A3474" t="s">
        <v>113</v>
      </c>
      <c r="B3474" t="s">
        <v>101</v>
      </c>
      <c r="C3474" s="5">
        <v>45449</v>
      </c>
      <c r="D3474">
        <v>183</v>
      </c>
      <c r="E3474">
        <f>WEEKNUM(Append321[[#This Row],[Date]])</f>
        <v>23</v>
      </c>
    </row>
    <row r="3475" spans="1:5">
      <c r="A3475" t="s">
        <v>113</v>
      </c>
      <c r="B3475" t="s">
        <v>101</v>
      </c>
      <c r="C3475" s="5">
        <v>45450</v>
      </c>
      <c r="D3475">
        <v>156</v>
      </c>
      <c r="E3475">
        <f>WEEKNUM(Append321[[#This Row],[Date]])</f>
        <v>23</v>
      </c>
    </row>
    <row r="3476" spans="1:5">
      <c r="A3476" t="s">
        <v>113</v>
      </c>
      <c r="B3476" t="s">
        <v>101</v>
      </c>
      <c r="C3476" s="5">
        <v>45464</v>
      </c>
      <c r="D3476">
        <v>120</v>
      </c>
      <c r="E3476">
        <f>WEEKNUM(Append321[[#This Row],[Date]])</f>
        <v>25</v>
      </c>
    </row>
    <row r="3477" spans="1:5">
      <c r="A3477" t="s">
        <v>113</v>
      </c>
      <c r="B3477" t="s">
        <v>101</v>
      </c>
      <c r="C3477" s="5">
        <v>45465</v>
      </c>
      <c r="D3477">
        <v>141</v>
      </c>
      <c r="E3477">
        <f>WEEKNUM(Append321[[#This Row],[Date]])</f>
        <v>25</v>
      </c>
    </row>
    <row r="3478" spans="1:5">
      <c r="A3478" t="s">
        <v>113</v>
      </c>
      <c r="B3478" t="s">
        <v>101</v>
      </c>
      <c r="C3478" s="5">
        <v>45466</v>
      </c>
      <c r="D3478">
        <v>158</v>
      </c>
      <c r="E3478">
        <f>WEEKNUM(Append321[[#This Row],[Date]])</f>
        <v>26</v>
      </c>
    </row>
    <row r="3479" spans="1:5">
      <c r="A3479" t="s">
        <v>113</v>
      </c>
      <c r="B3479" t="s">
        <v>101</v>
      </c>
      <c r="C3479" s="5">
        <v>45467</v>
      </c>
      <c r="D3479">
        <v>134</v>
      </c>
      <c r="E3479">
        <f>WEEKNUM(Append321[[#This Row],[Date]])</f>
        <v>26</v>
      </c>
    </row>
    <row r="3480" spans="1:5">
      <c r="A3480" t="s">
        <v>113</v>
      </c>
      <c r="B3480" t="s">
        <v>101</v>
      </c>
      <c r="C3480" s="5">
        <v>45468</v>
      </c>
      <c r="D3480">
        <v>144</v>
      </c>
      <c r="E3480">
        <f>WEEKNUM(Append321[[#This Row],[Date]])</f>
        <v>26</v>
      </c>
    </row>
    <row r="3481" spans="1:5">
      <c r="A3481" t="s">
        <v>113</v>
      </c>
      <c r="B3481" t="s">
        <v>101</v>
      </c>
      <c r="C3481" s="5">
        <v>45469</v>
      </c>
      <c r="D3481">
        <v>183</v>
      </c>
      <c r="E3481">
        <f>WEEKNUM(Append321[[#This Row],[Date]])</f>
        <v>26</v>
      </c>
    </row>
    <row r="3482" spans="1:5">
      <c r="A3482" t="s">
        <v>113</v>
      </c>
      <c r="B3482" t="s">
        <v>101</v>
      </c>
      <c r="C3482" s="5">
        <v>45470</v>
      </c>
      <c r="D3482">
        <v>156</v>
      </c>
      <c r="E3482">
        <f>WEEKNUM(Append321[[#This Row],[Date]])</f>
        <v>26</v>
      </c>
    </row>
    <row r="3483" spans="1:5">
      <c r="A3483" t="s">
        <v>113</v>
      </c>
      <c r="B3483" t="s">
        <v>101</v>
      </c>
      <c r="C3483" s="5">
        <v>45475</v>
      </c>
      <c r="D3483">
        <v>86</v>
      </c>
      <c r="E3483">
        <f>WEEKNUM(Append321[[#This Row],[Date]])</f>
        <v>27</v>
      </c>
    </row>
    <row r="3484" spans="1:5">
      <c r="A3484" t="s">
        <v>113</v>
      </c>
      <c r="B3484" t="s">
        <v>101</v>
      </c>
      <c r="C3484" s="5">
        <v>45476</v>
      </c>
      <c r="D3484">
        <v>94</v>
      </c>
      <c r="E3484">
        <f>WEEKNUM(Append321[[#This Row],[Date]])</f>
        <v>27</v>
      </c>
    </row>
    <row r="3485" spans="1:5">
      <c r="A3485" t="s">
        <v>113</v>
      </c>
      <c r="B3485" t="s">
        <v>101</v>
      </c>
      <c r="C3485" s="5">
        <v>45477</v>
      </c>
      <c r="D3485">
        <v>99</v>
      </c>
      <c r="E3485">
        <f>WEEKNUM(Append321[[#This Row],[Date]])</f>
        <v>27</v>
      </c>
    </row>
    <row r="3486" spans="1:5">
      <c r="A3486" t="s">
        <v>113</v>
      </c>
      <c r="B3486" t="s">
        <v>101</v>
      </c>
      <c r="C3486" s="5">
        <v>45478</v>
      </c>
      <c r="D3486">
        <v>121</v>
      </c>
      <c r="E3486">
        <f>WEEKNUM(Append321[[#This Row],[Date]])</f>
        <v>27</v>
      </c>
    </row>
    <row r="3487" spans="1:5">
      <c r="A3487" t="s">
        <v>113</v>
      </c>
      <c r="B3487" t="s">
        <v>101</v>
      </c>
      <c r="C3487" s="5">
        <v>45479</v>
      </c>
      <c r="D3487">
        <v>108</v>
      </c>
      <c r="E3487">
        <f>WEEKNUM(Append321[[#This Row],[Date]])</f>
        <v>27</v>
      </c>
    </row>
    <row r="3488" spans="1:5">
      <c r="A3488" t="s">
        <v>113</v>
      </c>
      <c r="B3488" t="s">
        <v>101</v>
      </c>
      <c r="C3488" s="5">
        <v>45480</v>
      </c>
      <c r="D3488">
        <v>102</v>
      </c>
      <c r="E3488">
        <f>WEEKNUM(Append321[[#This Row],[Date]])</f>
        <v>28</v>
      </c>
    </row>
    <row r="3489" spans="1:5">
      <c r="A3489" t="s">
        <v>113</v>
      </c>
      <c r="B3489" t="s">
        <v>101</v>
      </c>
      <c r="C3489" s="5">
        <v>45481</v>
      </c>
      <c r="D3489">
        <v>96</v>
      </c>
      <c r="E3489">
        <f>WEEKNUM(Append321[[#This Row],[Date]])</f>
        <v>28</v>
      </c>
    </row>
    <row r="3490" spans="1:5">
      <c r="A3490" t="s">
        <v>113</v>
      </c>
      <c r="B3490" t="s">
        <v>101</v>
      </c>
      <c r="C3490" s="5">
        <v>45482</v>
      </c>
      <c r="D3490">
        <v>121</v>
      </c>
      <c r="E3490">
        <f>WEEKNUM(Append321[[#This Row],[Date]])</f>
        <v>28</v>
      </c>
    </row>
    <row r="3491" spans="1:5">
      <c r="A3491" t="s">
        <v>113</v>
      </c>
      <c r="B3491" t="s">
        <v>101</v>
      </c>
      <c r="C3491" s="5">
        <v>45483</v>
      </c>
      <c r="D3491">
        <v>104</v>
      </c>
      <c r="E3491">
        <f>WEEKNUM(Append321[[#This Row],[Date]])</f>
        <v>28</v>
      </c>
    </row>
    <row r="3492" spans="1:5">
      <c r="A3492" t="s">
        <v>113</v>
      </c>
      <c r="B3492" t="s">
        <v>101</v>
      </c>
      <c r="C3492" s="5">
        <v>45484</v>
      </c>
      <c r="D3492">
        <v>109</v>
      </c>
      <c r="E3492">
        <f>WEEKNUM(Append321[[#This Row],[Date]])</f>
        <v>28</v>
      </c>
    </row>
    <row r="3493" spans="1:5">
      <c r="A3493" t="s">
        <v>113</v>
      </c>
      <c r="B3493" t="s">
        <v>101</v>
      </c>
      <c r="C3493" s="5">
        <v>45485</v>
      </c>
      <c r="D3493">
        <v>119</v>
      </c>
      <c r="E3493">
        <f>WEEKNUM(Append321[[#This Row],[Date]])</f>
        <v>28</v>
      </c>
    </row>
    <row r="3494" spans="1:5">
      <c r="A3494" t="s">
        <v>113</v>
      </c>
      <c r="B3494" t="s">
        <v>101</v>
      </c>
      <c r="C3494" s="5">
        <v>45486</v>
      </c>
      <c r="D3494">
        <v>96</v>
      </c>
      <c r="E3494">
        <f>WEEKNUM(Append321[[#This Row],[Date]])</f>
        <v>28</v>
      </c>
    </row>
    <row r="3495" spans="1:5">
      <c r="A3495" t="s">
        <v>113</v>
      </c>
      <c r="B3495" t="s">
        <v>101</v>
      </c>
      <c r="C3495" s="5">
        <v>45487</v>
      </c>
      <c r="D3495">
        <v>96</v>
      </c>
      <c r="E3495">
        <f>WEEKNUM(Append321[[#This Row],[Date]])</f>
        <v>29</v>
      </c>
    </row>
    <row r="3496" spans="1:5">
      <c r="A3496" t="s">
        <v>113</v>
      </c>
      <c r="B3496" t="s">
        <v>101</v>
      </c>
      <c r="C3496" s="5">
        <v>45488</v>
      </c>
      <c r="D3496">
        <v>96</v>
      </c>
      <c r="E3496">
        <f>WEEKNUM(Append321[[#This Row],[Date]])</f>
        <v>29</v>
      </c>
    </row>
    <row r="3497" spans="1:5">
      <c r="A3497" t="s">
        <v>113</v>
      </c>
      <c r="B3497" t="s">
        <v>101</v>
      </c>
      <c r="C3497" s="5">
        <v>45489</v>
      </c>
      <c r="D3497">
        <v>96</v>
      </c>
      <c r="E3497">
        <f>WEEKNUM(Append321[[#This Row],[Date]])</f>
        <v>29</v>
      </c>
    </row>
    <row r="3498" spans="1:5">
      <c r="A3498" t="s">
        <v>113</v>
      </c>
      <c r="B3498" t="s">
        <v>101</v>
      </c>
      <c r="C3498" s="5">
        <v>45490</v>
      </c>
      <c r="D3498">
        <v>95</v>
      </c>
      <c r="E3498">
        <f>WEEKNUM(Append321[[#This Row],[Date]])</f>
        <v>29</v>
      </c>
    </row>
    <row r="3499" spans="1:5">
      <c r="A3499" t="s">
        <v>113</v>
      </c>
      <c r="B3499" t="s">
        <v>101</v>
      </c>
      <c r="C3499" s="5">
        <v>45491</v>
      </c>
      <c r="D3499">
        <v>112</v>
      </c>
      <c r="E3499">
        <f>WEEKNUM(Append321[[#This Row],[Date]])</f>
        <v>29</v>
      </c>
    </row>
    <row r="3500" spans="1:5">
      <c r="A3500" t="s">
        <v>113</v>
      </c>
      <c r="B3500" t="s">
        <v>101</v>
      </c>
      <c r="C3500" s="5">
        <v>45492</v>
      </c>
      <c r="D3500">
        <v>110</v>
      </c>
      <c r="E3500">
        <f>WEEKNUM(Append321[[#This Row],[Date]])</f>
        <v>29</v>
      </c>
    </row>
    <row r="3501" spans="1:5">
      <c r="A3501" t="s">
        <v>113</v>
      </c>
      <c r="B3501" t="s">
        <v>101</v>
      </c>
      <c r="C3501" s="5">
        <v>45493</v>
      </c>
      <c r="D3501">
        <v>107</v>
      </c>
      <c r="E3501">
        <f>WEEKNUM(Append321[[#This Row],[Date]])</f>
        <v>29</v>
      </c>
    </row>
    <row r="3502" spans="1:5">
      <c r="A3502" t="s">
        <v>113</v>
      </c>
      <c r="B3502" t="s">
        <v>101</v>
      </c>
      <c r="C3502" s="5">
        <v>45494</v>
      </c>
      <c r="D3502">
        <v>111</v>
      </c>
      <c r="E3502">
        <f>WEEKNUM(Append321[[#This Row],[Date]])</f>
        <v>30</v>
      </c>
    </row>
    <row r="3503" spans="1:5">
      <c r="A3503" t="s">
        <v>113</v>
      </c>
      <c r="B3503" t="s">
        <v>101</v>
      </c>
      <c r="C3503" s="5">
        <v>45495</v>
      </c>
      <c r="D3503">
        <v>90</v>
      </c>
      <c r="E3503">
        <f>WEEKNUM(Append321[[#This Row],[Date]])</f>
        <v>30</v>
      </c>
    </row>
    <row r="3504" spans="1:5">
      <c r="A3504" t="s">
        <v>113</v>
      </c>
      <c r="B3504" t="s">
        <v>101</v>
      </c>
      <c r="C3504" s="5">
        <v>45496</v>
      </c>
      <c r="D3504">
        <v>110</v>
      </c>
      <c r="E3504">
        <f>WEEKNUM(Append321[[#This Row],[Date]])</f>
        <v>30</v>
      </c>
    </row>
    <row r="3505" spans="1:5">
      <c r="A3505" t="s">
        <v>113</v>
      </c>
      <c r="B3505" t="s">
        <v>101</v>
      </c>
      <c r="C3505" s="5">
        <v>45522</v>
      </c>
      <c r="D3505">
        <v>46</v>
      </c>
      <c r="E3505">
        <f>WEEKNUM(Append321[[#This Row],[Date]])</f>
        <v>34</v>
      </c>
    </row>
    <row r="3506" spans="1:5">
      <c r="A3506" t="s">
        <v>113</v>
      </c>
      <c r="B3506" t="s">
        <v>101</v>
      </c>
      <c r="C3506" s="5">
        <v>45523</v>
      </c>
      <c r="D3506">
        <v>47</v>
      </c>
      <c r="E3506">
        <f>WEEKNUM(Append321[[#This Row],[Date]])</f>
        <v>34</v>
      </c>
    </row>
    <row r="3507" spans="1:5">
      <c r="A3507" t="s">
        <v>113</v>
      </c>
      <c r="B3507" t="s">
        <v>101</v>
      </c>
      <c r="C3507" s="5">
        <v>45524</v>
      </c>
      <c r="D3507">
        <v>31</v>
      </c>
      <c r="E3507">
        <f>WEEKNUM(Append321[[#This Row],[Date]])</f>
        <v>34</v>
      </c>
    </row>
    <row r="3508" spans="1:5">
      <c r="A3508" t="s">
        <v>113</v>
      </c>
      <c r="B3508" t="s">
        <v>101</v>
      </c>
      <c r="C3508" s="5">
        <v>45525</v>
      </c>
      <c r="D3508">
        <v>37</v>
      </c>
      <c r="E3508">
        <f>WEEKNUM(Append321[[#This Row],[Date]])</f>
        <v>34</v>
      </c>
    </row>
    <row r="3509" spans="1:5">
      <c r="A3509" t="s">
        <v>113</v>
      </c>
      <c r="B3509" t="s">
        <v>101</v>
      </c>
      <c r="C3509" s="5">
        <v>45526</v>
      </c>
      <c r="D3509">
        <v>40</v>
      </c>
      <c r="E3509">
        <f>WEEKNUM(Append321[[#This Row],[Date]])</f>
        <v>34</v>
      </c>
    </row>
    <row r="3510" spans="1:5">
      <c r="A3510" t="s">
        <v>113</v>
      </c>
      <c r="B3510" t="s">
        <v>101</v>
      </c>
      <c r="C3510" s="5">
        <v>45527</v>
      </c>
      <c r="D3510">
        <v>21</v>
      </c>
      <c r="E3510">
        <f>WEEKNUM(Append321[[#This Row],[Date]])</f>
        <v>34</v>
      </c>
    </row>
    <row r="3511" spans="1:5">
      <c r="A3511" t="s">
        <v>113</v>
      </c>
      <c r="B3511" t="s">
        <v>101</v>
      </c>
      <c r="C3511" s="5">
        <v>45528</v>
      </c>
      <c r="D3511">
        <v>22</v>
      </c>
      <c r="E3511">
        <f>WEEKNUM(Append321[[#This Row],[Date]])</f>
        <v>34</v>
      </c>
    </row>
    <row r="3512" spans="1:5">
      <c r="A3512" t="s">
        <v>113</v>
      </c>
      <c r="B3512" t="s">
        <v>101</v>
      </c>
      <c r="C3512" s="5">
        <v>45529</v>
      </c>
      <c r="D3512">
        <v>44</v>
      </c>
      <c r="E3512">
        <f>WEEKNUM(Append321[[#This Row],[Date]])</f>
        <v>35</v>
      </c>
    </row>
    <row r="3513" spans="1:5">
      <c r="A3513" t="s">
        <v>113</v>
      </c>
      <c r="B3513" t="s">
        <v>101</v>
      </c>
      <c r="C3513" s="5">
        <v>45530</v>
      </c>
      <c r="D3513">
        <v>37</v>
      </c>
      <c r="E3513">
        <f>WEEKNUM(Append321[[#This Row],[Date]])</f>
        <v>35</v>
      </c>
    </row>
    <row r="3514" spans="1:5">
      <c r="A3514" t="s">
        <v>113</v>
      </c>
      <c r="B3514" t="s">
        <v>102</v>
      </c>
      <c r="C3514" s="5">
        <v>45444</v>
      </c>
      <c r="D3514">
        <v>148</v>
      </c>
      <c r="E3514">
        <f>WEEKNUM(Append321[[#This Row],[Date]])</f>
        <v>22</v>
      </c>
    </row>
    <row r="3515" spans="1:5">
      <c r="A3515" t="s">
        <v>113</v>
      </c>
      <c r="B3515" t="s">
        <v>102</v>
      </c>
      <c r="C3515" s="5">
        <v>45445</v>
      </c>
      <c r="D3515">
        <v>171</v>
      </c>
      <c r="E3515">
        <f>WEEKNUM(Append321[[#This Row],[Date]])</f>
        <v>23</v>
      </c>
    </row>
    <row r="3516" spans="1:5">
      <c r="A3516" t="s">
        <v>113</v>
      </c>
      <c r="B3516" t="s">
        <v>102</v>
      </c>
      <c r="C3516" s="5">
        <v>45446</v>
      </c>
      <c r="D3516">
        <v>175</v>
      </c>
      <c r="E3516">
        <f>WEEKNUM(Append321[[#This Row],[Date]])</f>
        <v>23</v>
      </c>
    </row>
    <row r="3517" spans="1:5">
      <c r="A3517" t="s">
        <v>113</v>
      </c>
      <c r="B3517" t="s">
        <v>102</v>
      </c>
      <c r="C3517" s="5">
        <v>45447</v>
      </c>
      <c r="D3517">
        <v>174</v>
      </c>
      <c r="E3517">
        <f>WEEKNUM(Append321[[#This Row],[Date]])</f>
        <v>23</v>
      </c>
    </row>
    <row r="3518" spans="1:5">
      <c r="A3518" t="s">
        <v>113</v>
      </c>
      <c r="B3518" t="s">
        <v>102</v>
      </c>
      <c r="C3518" s="5">
        <v>45448</v>
      </c>
      <c r="D3518">
        <v>171</v>
      </c>
      <c r="E3518">
        <f>WEEKNUM(Append321[[#This Row],[Date]])</f>
        <v>23</v>
      </c>
    </row>
    <row r="3519" spans="1:5">
      <c r="A3519" t="s">
        <v>113</v>
      </c>
      <c r="B3519" t="s">
        <v>102</v>
      </c>
      <c r="C3519" s="5">
        <v>45449</v>
      </c>
      <c r="D3519">
        <v>181</v>
      </c>
      <c r="E3519">
        <f>WEEKNUM(Append321[[#This Row],[Date]])</f>
        <v>23</v>
      </c>
    </row>
    <row r="3520" spans="1:5">
      <c r="A3520" t="s">
        <v>113</v>
      </c>
      <c r="B3520" t="s">
        <v>102</v>
      </c>
      <c r="C3520" s="5">
        <v>45450</v>
      </c>
      <c r="D3520">
        <v>230</v>
      </c>
      <c r="E3520">
        <f>WEEKNUM(Append321[[#This Row],[Date]])</f>
        <v>23</v>
      </c>
    </row>
    <row r="3521" spans="1:5">
      <c r="A3521" t="s">
        <v>113</v>
      </c>
      <c r="B3521" t="s">
        <v>102</v>
      </c>
      <c r="C3521" s="5">
        <v>45464</v>
      </c>
      <c r="D3521">
        <v>148</v>
      </c>
      <c r="E3521">
        <f>WEEKNUM(Append321[[#This Row],[Date]])</f>
        <v>25</v>
      </c>
    </row>
    <row r="3522" spans="1:5">
      <c r="A3522" t="s">
        <v>113</v>
      </c>
      <c r="B3522" t="s">
        <v>102</v>
      </c>
      <c r="C3522" s="5">
        <v>45465</v>
      </c>
      <c r="D3522">
        <v>171</v>
      </c>
      <c r="E3522">
        <f>WEEKNUM(Append321[[#This Row],[Date]])</f>
        <v>25</v>
      </c>
    </row>
    <row r="3523" spans="1:5">
      <c r="A3523" t="s">
        <v>113</v>
      </c>
      <c r="B3523" t="s">
        <v>102</v>
      </c>
      <c r="C3523" s="5">
        <v>45466</v>
      </c>
      <c r="D3523">
        <v>175</v>
      </c>
      <c r="E3523">
        <f>WEEKNUM(Append321[[#This Row],[Date]])</f>
        <v>26</v>
      </c>
    </row>
    <row r="3524" spans="1:5">
      <c r="A3524" t="s">
        <v>113</v>
      </c>
      <c r="B3524" t="s">
        <v>102</v>
      </c>
      <c r="C3524" s="5">
        <v>45467</v>
      </c>
      <c r="D3524">
        <v>174</v>
      </c>
      <c r="E3524">
        <f>WEEKNUM(Append321[[#This Row],[Date]])</f>
        <v>26</v>
      </c>
    </row>
    <row r="3525" spans="1:5">
      <c r="A3525" t="s">
        <v>113</v>
      </c>
      <c r="B3525" t="s">
        <v>102</v>
      </c>
      <c r="C3525" s="5">
        <v>45468</v>
      </c>
      <c r="D3525">
        <v>171</v>
      </c>
      <c r="E3525">
        <f>WEEKNUM(Append321[[#This Row],[Date]])</f>
        <v>26</v>
      </c>
    </row>
    <row r="3526" spans="1:5">
      <c r="A3526" t="s">
        <v>113</v>
      </c>
      <c r="B3526" t="s">
        <v>102</v>
      </c>
      <c r="C3526" s="5">
        <v>45469</v>
      </c>
      <c r="D3526">
        <v>181</v>
      </c>
      <c r="E3526">
        <f>WEEKNUM(Append321[[#This Row],[Date]])</f>
        <v>26</v>
      </c>
    </row>
    <row r="3527" spans="1:5">
      <c r="A3527" t="s">
        <v>113</v>
      </c>
      <c r="B3527" t="s">
        <v>102</v>
      </c>
      <c r="C3527" s="5">
        <v>45470</v>
      </c>
      <c r="D3527">
        <v>230</v>
      </c>
      <c r="E3527">
        <f>WEEKNUM(Append321[[#This Row],[Date]])</f>
        <v>26</v>
      </c>
    </row>
    <row r="3528" spans="1:5">
      <c r="A3528" t="s">
        <v>113</v>
      </c>
      <c r="B3528" t="s">
        <v>102</v>
      </c>
      <c r="C3528" s="5">
        <v>45475</v>
      </c>
      <c r="D3528">
        <v>207</v>
      </c>
      <c r="E3528">
        <f>WEEKNUM(Append321[[#This Row],[Date]])</f>
        <v>27</v>
      </c>
    </row>
    <row r="3529" spans="1:5">
      <c r="A3529" t="s">
        <v>113</v>
      </c>
      <c r="B3529" t="s">
        <v>102</v>
      </c>
      <c r="C3529" s="5">
        <v>45476</v>
      </c>
      <c r="D3529">
        <v>196</v>
      </c>
      <c r="E3529">
        <f>WEEKNUM(Append321[[#This Row],[Date]])</f>
        <v>27</v>
      </c>
    </row>
    <row r="3530" spans="1:5">
      <c r="A3530" t="s">
        <v>113</v>
      </c>
      <c r="B3530" t="s">
        <v>102</v>
      </c>
      <c r="C3530" s="5">
        <v>45477</v>
      </c>
      <c r="D3530">
        <v>228</v>
      </c>
      <c r="E3530">
        <f>WEEKNUM(Append321[[#This Row],[Date]])</f>
        <v>27</v>
      </c>
    </row>
    <row r="3531" spans="1:5">
      <c r="A3531" t="s">
        <v>113</v>
      </c>
      <c r="B3531" t="s">
        <v>102</v>
      </c>
      <c r="C3531" s="5">
        <v>45478</v>
      </c>
      <c r="D3531">
        <v>255</v>
      </c>
      <c r="E3531">
        <f>WEEKNUM(Append321[[#This Row],[Date]])</f>
        <v>27</v>
      </c>
    </row>
    <row r="3532" spans="1:5">
      <c r="A3532" t="s">
        <v>113</v>
      </c>
      <c r="B3532" t="s">
        <v>102</v>
      </c>
      <c r="C3532" s="5">
        <v>45479</v>
      </c>
      <c r="D3532">
        <v>200</v>
      </c>
      <c r="E3532">
        <f>WEEKNUM(Append321[[#This Row],[Date]])</f>
        <v>27</v>
      </c>
    </row>
    <row r="3533" spans="1:5">
      <c r="A3533" t="s">
        <v>113</v>
      </c>
      <c r="B3533" t="s">
        <v>102</v>
      </c>
      <c r="C3533" s="5">
        <v>45480</v>
      </c>
      <c r="D3533">
        <v>207</v>
      </c>
      <c r="E3533">
        <f>WEEKNUM(Append321[[#This Row],[Date]])</f>
        <v>28</v>
      </c>
    </row>
    <row r="3534" spans="1:5">
      <c r="A3534" t="s">
        <v>113</v>
      </c>
      <c r="B3534" t="s">
        <v>102</v>
      </c>
      <c r="C3534" s="5">
        <v>45481</v>
      </c>
      <c r="D3534">
        <v>204</v>
      </c>
      <c r="E3534">
        <f>WEEKNUM(Append321[[#This Row],[Date]])</f>
        <v>28</v>
      </c>
    </row>
    <row r="3535" spans="1:5">
      <c r="A3535" t="s">
        <v>113</v>
      </c>
      <c r="B3535" t="s">
        <v>102</v>
      </c>
      <c r="C3535" s="5">
        <v>45482</v>
      </c>
      <c r="D3535">
        <v>271</v>
      </c>
      <c r="E3535">
        <f>WEEKNUM(Append321[[#This Row],[Date]])</f>
        <v>28</v>
      </c>
    </row>
    <row r="3536" spans="1:5">
      <c r="A3536" t="s">
        <v>113</v>
      </c>
      <c r="B3536" t="s">
        <v>102</v>
      </c>
      <c r="C3536" s="5">
        <v>45483</v>
      </c>
      <c r="D3536">
        <v>212</v>
      </c>
      <c r="E3536">
        <f>WEEKNUM(Append321[[#This Row],[Date]])</f>
        <v>28</v>
      </c>
    </row>
    <row r="3537" spans="1:5">
      <c r="A3537" t="s">
        <v>113</v>
      </c>
      <c r="B3537" t="s">
        <v>102</v>
      </c>
      <c r="C3537" s="5">
        <v>45484</v>
      </c>
      <c r="D3537">
        <v>242</v>
      </c>
      <c r="E3537">
        <f>WEEKNUM(Append321[[#This Row],[Date]])</f>
        <v>28</v>
      </c>
    </row>
    <row r="3538" spans="1:5">
      <c r="A3538" t="s">
        <v>113</v>
      </c>
      <c r="B3538" t="s">
        <v>102</v>
      </c>
      <c r="C3538" s="5">
        <v>45485</v>
      </c>
      <c r="D3538">
        <v>265</v>
      </c>
      <c r="E3538">
        <f>WEEKNUM(Append321[[#This Row],[Date]])</f>
        <v>28</v>
      </c>
    </row>
    <row r="3539" spans="1:5">
      <c r="A3539" t="s">
        <v>113</v>
      </c>
      <c r="B3539" t="s">
        <v>102</v>
      </c>
      <c r="C3539" s="5">
        <v>45486</v>
      </c>
      <c r="D3539">
        <v>215</v>
      </c>
      <c r="E3539">
        <f>WEEKNUM(Append321[[#This Row],[Date]])</f>
        <v>28</v>
      </c>
    </row>
    <row r="3540" spans="1:5">
      <c r="A3540" t="s">
        <v>113</v>
      </c>
      <c r="B3540" t="s">
        <v>102</v>
      </c>
      <c r="C3540" s="5">
        <v>45487</v>
      </c>
      <c r="D3540">
        <v>194</v>
      </c>
      <c r="E3540">
        <f>WEEKNUM(Append321[[#This Row],[Date]])</f>
        <v>29</v>
      </c>
    </row>
    <row r="3541" spans="1:5">
      <c r="A3541" t="s">
        <v>113</v>
      </c>
      <c r="B3541" t="s">
        <v>102</v>
      </c>
      <c r="C3541" s="5">
        <v>45488</v>
      </c>
      <c r="D3541">
        <v>227</v>
      </c>
      <c r="E3541">
        <f>WEEKNUM(Append321[[#This Row],[Date]])</f>
        <v>29</v>
      </c>
    </row>
    <row r="3542" spans="1:5">
      <c r="A3542" t="s">
        <v>113</v>
      </c>
      <c r="B3542" t="s">
        <v>102</v>
      </c>
      <c r="C3542" s="5">
        <v>45489</v>
      </c>
      <c r="D3542">
        <v>214</v>
      </c>
      <c r="E3542">
        <f>WEEKNUM(Append321[[#This Row],[Date]])</f>
        <v>29</v>
      </c>
    </row>
    <row r="3543" spans="1:5">
      <c r="A3543" t="s">
        <v>113</v>
      </c>
      <c r="B3543" t="s">
        <v>102</v>
      </c>
      <c r="C3543" s="5">
        <v>45490</v>
      </c>
      <c r="D3543">
        <v>202</v>
      </c>
      <c r="E3543">
        <f>WEEKNUM(Append321[[#This Row],[Date]])</f>
        <v>29</v>
      </c>
    </row>
    <row r="3544" spans="1:5">
      <c r="A3544" t="s">
        <v>113</v>
      </c>
      <c r="B3544" t="s">
        <v>102</v>
      </c>
      <c r="C3544" s="5">
        <v>45491</v>
      </c>
      <c r="D3544">
        <v>225</v>
      </c>
      <c r="E3544">
        <f>WEEKNUM(Append321[[#This Row],[Date]])</f>
        <v>29</v>
      </c>
    </row>
    <row r="3545" spans="1:5">
      <c r="A3545" t="s">
        <v>113</v>
      </c>
      <c r="B3545" t="s">
        <v>102</v>
      </c>
      <c r="C3545" s="5">
        <v>45492</v>
      </c>
      <c r="D3545">
        <v>281</v>
      </c>
      <c r="E3545">
        <f>WEEKNUM(Append321[[#This Row],[Date]])</f>
        <v>29</v>
      </c>
    </row>
    <row r="3546" spans="1:5">
      <c r="A3546" t="s">
        <v>113</v>
      </c>
      <c r="B3546" t="s">
        <v>102</v>
      </c>
      <c r="C3546" s="5">
        <v>45493</v>
      </c>
      <c r="D3546">
        <v>223</v>
      </c>
      <c r="E3546">
        <f>WEEKNUM(Append321[[#This Row],[Date]])</f>
        <v>29</v>
      </c>
    </row>
    <row r="3547" spans="1:5">
      <c r="A3547" t="s">
        <v>113</v>
      </c>
      <c r="B3547" t="s">
        <v>102</v>
      </c>
      <c r="C3547" s="5">
        <v>45494</v>
      </c>
      <c r="D3547">
        <v>227</v>
      </c>
      <c r="E3547">
        <f>WEEKNUM(Append321[[#This Row],[Date]])</f>
        <v>30</v>
      </c>
    </row>
    <row r="3548" spans="1:5">
      <c r="A3548" t="s">
        <v>113</v>
      </c>
      <c r="B3548" t="s">
        <v>102</v>
      </c>
      <c r="C3548" s="5">
        <v>45495</v>
      </c>
      <c r="D3548">
        <v>192</v>
      </c>
      <c r="E3548">
        <f>WEEKNUM(Append321[[#This Row],[Date]])</f>
        <v>30</v>
      </c>
    </row>
    <row r="3549" spans="1:5">
      <c r="A3549" t="s">
        <v>113</v>
      </c>
      <c r="B3549" t="s">
        <v>102</v>
      </c>
      <c r="C3549" s="5">
        <v>45496</v>
      </c>
      <c r="D3549">
        <v>235</v>
      </c>
      <c r="E3549">
        <f>WEEKNUM(Append321[[#This Row],[Date]])</f>
        <v>30</v>
      </c>
    </row>
    <row r="3550" spans="1:5">
      <c r="A3550" t="s">
        <v>113</v>
      </c>
      <c r="B3550" t="s">
        <v>102</v>
      </c>
      <c r="C3550" s="5">
        <v>45522</v>
      </c>
      <c r="D3550">
        <v>215</v>
      </c>
      <c r="E3550">
        <f>WEEKNUM(Append321[[#This Row],[Date]])</f>
        <v>34</v>
      </c>
    </row>
    <row r="3551" spans="1:5">
      <c r="A3551" t="s">
        <v>113</v>
      </c>
      <c r="B3551" t="s">
        <v>102</v>
      </c>
      <c r="C3551" s="5">
        <v>45523</v>
      </c>
      <c r="D3551">
        <v>237</v>
      </c>
      <c r="E3551">
        <f>WEEKNUM(Append321[[#This Row],[Date]])</f>
        <v>34</v>
      </c>
    </row>
    <row r="3552" spans="1:5">
      <c r="A3552" t="s">
        <v>113</v>
      </c>
      <c r="B3552" t="s">
        <v>102</v>
      </c>
      <c r="C3552" s="5">
        <v>45524</v>
      </c>
      <c r="D3552">
        <v>189</v>
      </c>
      <c r="E3552">
        <f>WEEKNUM(Append321[[#This Row],[Date]])</f>
        <v>34</v>
      </c>
    </row>
    <row r="3553" spans="1:5">
      <c r="A3553" t="s">
        <v>113</v>
      </c>
      <c r="B3553" t="s">
        <v>102</v>
      </c>
      <c r="C3553" s="5">
        <v>45525</v>
      </c>
      <c r="D3553">
        <v>172</v>
      </c>
      <c r="E3553">
        <f>WEEKNUM(Append321[[#This Row],[Date]])</f>
        <v>34</v>
      </c>
    </row>
    <row r="3554" spans="1:5">
      <c r="A3554" t="s">
        <v>113</v>
      </c>
      <c r="B3554" t="s">
        <v>102</v>
      </c>
      <c r="C3554" s="5">
        <v>45526</v>
      </c>
      <c r="D3554">
        <v>203</v>
      </c>
      <c r="E3554">
        <f>WEEKNUM(Append321[[#This Row],[Date]])</f>
        <v>34</v>
      </c>
    </row>
    <row r="3555" spans="1:5">
      <c r="A3555" t="s">
        <v>113</v>
      </c>
      <c r="B3555" t="s">
        <v>102</v>
      </c>
      <c r="C3555" s="5">
        <v>45527</v>
      </c>
      <c r="D3555">
        <v>167</v>
      </c>
      <c r="E3555">
        <f>WEEKNUM(Append321[[#This Row],[Date]])</f>
        <v>34</v>
      </c>
    </row>
    <row r="3556" spans="1:5">
      <c r="A3556" t="s">
        <v>113</v>
      </c>
      <c r="B3556" t="s">
        <v>102</v>
      </c>
      <c r="C3556" s="5">
        <v>45528</v>
      </c>
      <c r="D3556">
        <v>185</v>
      </c>
      <c r="E3556">
        <f>WEEKNUM(Append321[[#This Row],[Date]])</f>
        <v>34</v>
      </c>
    </row>
    <row r="3557" spans="1:5">
      <c r="A3557" t="s">
        <v>113</v>
      </c>
      <c r="B3557" t="s">
        <v>102</v>
      </c>
      <c r="C3557" s="5">
        <v>45529</v>
      </c>
      <c r="D3557">
        <v>164</v>
      </c>
      <c r="E3557">
        <f>WEEKNUM(Append321[[#This Row],[Date]])</f>
        <v>35</v>
      </c>
    </row>
    <row r="3558" spans="1:5">
      <c r="A3558" t="s">
        <v>113</v>
      </c>
      <c r="B3558" t="s">
        <v>102</v>
      </c>
      <c r="C3558" s="5">
        <v>45530</v>
      </c>
      <c r="D3558">
        <v>177</v>
      </c>
      <c r="E3558">
        <f>WEEKNUM(Append321[[#This Row],[Date]])</f>
        <v>35</v>
      </c>
    </row>
    <row r="3559" spans="1:5">
      <c r="A3559" t="s">
        <v>113</v>
      </c>
      <c r="B3559" t="s">
        <v>103</v>
      </c>
      <c r="C3559" s="5">
        <v>45444</v>
      </c>
      <c r="D3559">
        <v>134</v>
      </c>
      <c r="E3559">
        <f>WEEKNUM(Append321[[#This Row],[Date]])</f>
        <v>22</v>
      </c>
    </row>
    <row r="3560" spans="1:5">
      <c r="A3560" t="s">
        <v>113</v>
      </c>
      <c r="B3560" t="s">
        <v>103</v>
      </c>
      <c r="C3560" s="5">
        <v>45445</v>
      </c>
      <c r="D3560">
        <v>148</v>
      </c>
      <c r="E3560">
        <f>WEEKNUM(Append321[[#This Row],[Date]])</f>
        <v>23</v>
      </c>
    </row>
    <row r="3561" spans="1:5">
      <c r="A3561" t="s">
        <v>113</v>
      </c>
      <c r="B3561" t="s">
        <v>103</v>
      </c>
      <c r="C3561" s="5">
        <v>45446</v>
      </c>
      <c r="D3561">
        <v>126</v>
      </c>
      <c r="E3561">
        <f>WEEKNUM(Append321[[#This Row],[Date]])</f>
        <v>23</v>
      </c>
    </row>
    <row r="3562" spans="1:5">
      <c r="A3562" t="s">
        <v>113</v>
      </c>
      <c r="B3562" t="s">
        <v>103</v>
      </c>
      <c r="C3562" s="5">
        <v>45447</v>
      </c>
      <c r="D3562">
        <v>130</v>
      </c>
      <c r="E3562">
        <f>WEEKNUM(Append321[[#This Row],[Date]])</f>
        <v>23</v>
      </c>
    </row>
    <row r="3563" spans="1:5">
      <c r="A3563" t="s">
        <v>113</v>
      </c>
      <c r="B3563" t="s">
        <v>103</v>
      </c>
      <c r="C3563" s="5">
        <v>45448</v>
      </c>
      <c r="D3563">
        <v>141</v>
      </c>
      <c r="E3563">
        <f>WEEKNUM(Append321[[#This Row],[Date]])</f>
        <v>23</v>
      </c>
    </row>
    <row r="3564" spans="1:5">
      <c r="A3564" t="s">
        <v>113</v>
      </c>
      <c r="B3564" t="s">
        <v>103</v>
      </c>
      <c r="C3564" s="5">
        <v>45449</v>
      </c>
      <c r="D3564">
        <v>155</v>
      </c>
      <c r="E3564">
        <f>WEEKNUM(Append321[[#This Row],[Date]])</f>
        <v>23</v>
      </c>
    </row>
    <row r="3565" spans="1:5">
      <c r="A3565" t="s">
        <v>113</v>
      </c>
      <c r="B3565" t="s">
        <v>103</v>
      </c>
      <c r="C3565" s="5">
        <v>45450</v>
      </c>
      <c r="D3565">
        <v>140</v>
      </c>
      <c r="E3565">
        <f>WEEKNUM(Append321[[#This Row],[Date]])</f>
        <v>23</v>
      </c>
    </row>
    <row r="3566" spans="1:5">
      <c r="A3566" t="s">
        <v>113</v>
      </c>
      <c r="B3566" t="s">
        <v>103</v>
      </c>
      <c r="C3566" s="5">
        <v>45464</v>
      </c>
      <c r="D3566">
        <v>134</v>
      </c>
      <c r="E3566">
        <f>WEEKNUM(Append321[[#This Row],[Date]])</f>
        <v>25</v>
      </c>
    </row>
    <row r="3567" spans="1:5">
      <c r="A3567" t="s">
        <v>113</v>
      </c>
      <c r="B3567" t="s">
        <v>103</v>
      </c>
      <c r="C3567" s="5">
        <v>45465</v>
      </c>
      <c r="D3567">
        <v>148</v>
      </c>
      <c r="E3567">
        <f>WEEKNUM(Append321[[#This Row],[Date]])</f>
        <v>25</v>
      </c>
    </row>
    <row r="3568" spans="1:5">
      <c r="A3568" t="s">
        <v>113</v>
      </c>
      <c r="B3568" t="s">
        <v>103</v>
      </c>
      <c r="C3568" s="5">
        <v>45466</v>
      </c>
      <c r="D3568">
        <v>126</v>
      </c>
      <c r="E3568">
        <f>WEEKNUM(Append321[[#This Row],[Date]])</f>
        <v>26</v>
      </c>
    </row>
    <row r="3569" spans="1:5">
      <c r="A3569" t="s">
        <v>113</v>
      </c>
      <c r="B3569" t="s">
        <v>103</v>
      </c>
      <c r="C3569" s="5">
        <v>45467</v>
      </c>
      <c r="D3569">
        <v>130</v>
      </c>
      <c r="E3569">
        <f>WEEKNUM(Append321[[#This Row],[Date]])</f>
        <v>26</v>
      </c>
    </row>
    <row r="3570" spans="1:5">
      <c r="A3570" t="s">
        <v>113</v>
      </c>
      <c r="B3570" t="s">
        <v>103</v>
      </c>
      <c r="C3570" s="5">
        <v>45468</v>
      </c>
      <c r="D3570">
        <v>141</v>
      </c>
      <c r="E3570">
        <f>WEEKNUM(Append321[[#This Row],[Date]])</f>
        <v>26</v>
      </c>
    </row>
    <row r="3571" spans="1:5">
      <c r="A3571" t="s">
        <v>113</v>
      </c>
      <c r="B3571" t="s">
        <v>103</v>
      </c>
      <c r="C3571" s="5">
        <v>45469</v>
      </c>
      <c r="D3571">
        <v>155</v>
      </c>
      <c r="E3571">
        <f>WEEKNUM(Append321[[#This Row],[Date]])</f>
        <v>26</v>
      </c>
    </row>
    <row r="3572" spans="1:5">
      <c r="A3572" t="s">
        <v>113</v>
      </c>
      <c r="B3572" t="s">
        <v>103</v>
      </c>
      <c r="C3572" s="5">
        <v>45470</v>
      </c>
      <c r="D3572">
        <v>140</v>
      </c>
      <c r="E3572">
        <f>WEEKNUM(Append321[[#This Row],[Date]])</f>
        <v>26</v>
      </c>
    </row>
    <row r="3573" spans="1:5">
      <c r="A3573" t="s">
        <v>113</v>
      </c>
      <c r="B3573" t="s">
        <v>103</v>
      </c>
      <c r="C3573" s="5">
        <v>45475</v>
      </c>
      <c r="D3573">
        <v>110</v>
      </c>
      <c r="E3573">
        <f>WEEKNUM(Append321[[#This Row],[Date]])</f>
        <v>27</v>
      </c>
    </row>
    <row r="3574" spans="1:5">
      <c r="A3574" t="s">
        <v>113</v>
      </c>
      <c r="B3574" t="s">
        <v>103</v>
      </c>
      <c r="C3574" s="5">
        <v>45476</v>
      </c>
      <c r="D3574">
        <v>83</v>
      </c>
      <c r="E3574">
        <f>WEEKNUM(Append321[[#This Row],[Date]])</f>
        <v>27</v>
      </c>
    </row>
    <row r="3575" spans="1:5">
      <c r="A3575" t="s">
        <v>113</v>
      </c>
      <c r="B3575" t="s">
        <v>103</v>
      </c>
      <c r="C3575" s="5">
        <v>45477</v>
      </c>
      <c r="D3575">
        <v>120</v>
      </c>
      <c r="E3575">
        <f>WEEKNUM(Append321[[#This Row],[Date]])</f>
        <v>27</v>
      </c>
    </row>
    <row r="3576" spans="1:5">
      <c r="A3576" t="s">
        <v>113</v>
      </c>
      <c r="B3576" t="s">
        <v>103</v>
      </c>
      <c r="C3576" s="5">
        <v>45478</v>
      </c>
      <c r="D3576">
        <v>126</v>
      </c>
      <c r="E3576">
        <f>WEEKNUM(Append321[[#This Row],[Date]])</f>
        <v>27</v>
      </c>
    </row>
    <row r="3577" spans="1:5">
      <c r="A3577" t="s">
        <v>113</v>
      </c>
      <c r="B3577" t="s">
        <v>103</v>
      </c>
      <c r="C3577" s="5">
        <v>45479</v>
      </c>
      <c r="D3577">
        <v>98</v>
      </c>
      <c r="E3577">
        <f>WEEKNUM(Append321[[#This Row],[Date]])</f>
        <v>27</v>
      </c>
    </row>
    <row r="3578" spans="1:5">
      <c r="A3578" t="s">
        <v>113</v>
      </c>
      <c r="B3578" t="s">
        <v>103</v>
      </c>
      <c r="C3578" s="5">
        <v>45480</v>
      </c>
      <c r="D3578">
        <v>86</v>
      </c>
      <c r="E3578">
        <f>WEEKNUM(Append321[[#This Row],[Date]])</f>
        <v>28</v>
      </c>
    </row>
    <row r="3579" spans="1:5">
      <c r="A3579" t="s">
        <v>113</v>
      </c>
      <c r="B3579" t="s">
        <v>103</v>
      </c>
      <c r="C3579" s="5">
        <v>45481</v>
      </c>
      <c r="D3579">
        <v>98</v>
      </c>
      <c r="E3579">
        <f>WEEKNUM(Append321[[#This Row],[Date]])</f>
        <v>28</v>
      </c>
    </row>
    <row r="3580" spans="1:5">
      <c r="A3580" t="s">
        <v>113</v>
      </c>
      <c r="B3580" t="s">
        <v>103</v>
      </c>
      <c r="C3580" s="5">
        <v>45482</v>
      </c>
      <c r="D3580">
        <v>102</v>
      </c>
      <c r="E3580">
        <f>WEEKNUM(Append321[[#This Row],[Date]])</f>
        <v>28</v>
      </c>
    </row>
    <row r="3581" spans="1:5">
      <c r="A3581" t="s">
        <v>113</v>
      </c>
      <c r="B3581" t="s">
        <v>103</v>
      </c>
      <c r="C3581" s="5">
        <v>45483</v>
      </c>
      <c r="D3581">
        <v>112</v>
      </c>
      <c r="E3581">
        <f>WEEKNUM(Append321[[#This Row],[Date]])</f>
        <v>28</v>
      </c>
    </row>
    <row r="3582" spans="1:5">
      <c r="A3582" t="s">
        <v>113</v>
      </c>
      <c r="B3582" t="s">
        <v>103</v>
      </c>
      <c r="C3582" s="5">
        <v>45484</v>
      </c>
      <c r="D3582">
        <v>77</v>
      </c>
      <c r="E3582">
        <f>WEEKNUM(Append321[[#This Row],[Date]])</f>
        <v>28</v>
      </c>
    </row>
    <row r="3583" spans="1:5">
      <c r="A3583" t="s">
        <v>113</v>
      </c>
      <c r="B3583" t="s">
        <v>103</v>
      </c>
      <c r="C3583" s="5">
        <v>45485</v>
      </c>
      <c r="D3583">
        <v>105</v>
      </c>
      <c r="E3583">
        <f>WEEKNUM(Append321[[#This Row],[Date]])</f>
        <v>28</v>
      </c>
    </row>
    <row r="3584" spans="1:5">
      <c r="A3584" t="s">
        <v>113</v>
      </c>
      <c r="B3584" t="s">
        <v>103</v>
      </c>
      <c r="C3584" s="5">
        <v>45486</v>
      </c>
      <c r="D3584">
        <v>110</v>
      </c>
      <c r="E3584">
        <f>WEEKNUM(Append321[[#This Row],[Date]])</f>
        <v>28</v>
      </c>
    </row>
    <row r="3585" spans="1:5">
      <c r="A3585" t="s">
        <v>113</v>
      </c>
      <c r="B3585" t="s">
        <v>103</v>
      </c>
      <c r="C3585" s="5">
        <v>45487</v>
      </c>
      <c r="D3585">
        <v>86</v>
      </c>
      <c r="E3585">
        <f>WEEKNUM(Append321[[#This Row],[Date]])</f>
        <v>29</v>
      </c>
    </row>
    <row r="3586" spans="1:5">
      <c r="A3586" t="s">
        <v>113</v>
      </c>
      <c r="B3586" t="s">
        <v>103</v>
      </c>
      <c r="C3586" s="5">
        <v>45488</v>
      </c>
      <c r="D3586">
        <v>96</v>
      </c>
      <c r="E3586">
        <f>WEEKNUM(Append321[[#This Row],[Date]])</f>
        <v>29</v>
      </c>
    </row>
    <row r="3587" spans="1:5">
      <c r="A3587" t="s">
        <v>113</v>
      </c>
      <c r="B3587" t="s">
        <v>103</v>
      </c>
      <c r="C3587" s="5">
        <v>45489</v>
      </c>
      <c r="D3587">
        <v>99</v>
      </c>
      <c r="E3587">
        <f>WEEKNUM(Append321[[#This Row],[Date]])</f>
        <v>29</v>
      </c>
    </row>
    <row r="3588" spans="1:5">
      <c r="A3588" t="s">
        <v>113</v>
      </c>
      <c r="B3588" t="s">
        <v>103</v>
      </c>
      <c r="C3588" s="5">
        <v>45490</v>
      </c>
      <c r="D3588">
        <v>86</v>
      </c>
      <c r="E3588">
        <f>WEEKNUM(Append321[[#This Row],[Date]])</f>
        <v>29</v>
      </c>
    </row>
    <row r="3589" spans="1:5">
      <c r="A3589" t="s">
        <v>113</v>
      </c>
      <c r="B3589" t="s">
        <v>103</v>
      </c>
      <c r="C3589" s="5">
        <v>45491</v>
      </c>
      <c r="D3589">
        <v>97</v>
      </c>
      <c r="E3589">
        <f>WEEKNUM(Append321[[#This Row],[Date]])</f>
        <v>29</v>
      </c>
    </row>
    <row r="3590" spans="1:5">
      <c r="A3590" t="s">
        <v>113</v>
      </c>
      <c r="B3590" t="s">
        <v>103</v>
      </c>
      <c r="C3590" s="5">
        <v>45492</v>
      </c>
      <c r="D3590">
        <v>109</v>
      </c>
      <c r="E3590">
        <f>WEEKNUM(Append321[[#This Row],[Date]])</f>
        <v>29</v>
      </c>
    </row>
    <row r="3591" spans="1:5">
      <c r="A3591" t="s">
        <v>113</v>
      </c>
      <c r="B3591" t="s">
        <v>103</v>
      </c>
      <c r="C3591" s="5">
        <v>45493</v>
      </c>
      <c r="D3591">
        <v>95</v>
      </c>
      <c r="E3591">
        <f>WEEKNUM(Append321[[#This Row],[Date]])</f>
        <v>29</v>
      </c>
    </row>
    <row r="3592" spans="1:5">
      <c r="A3592" t="s">
        <v>113</v>
      </c>
      <c r="B3592" t="s">
        <v>103</v>
      </c>
      <c r="C3592" s="5">
        <v>45494</v>
      </c>
      <c r="D3592">
        <v>83</v>
      </c>
      <c r="E3592">
        <f>WEEKNUM(Append321[[#This Row],[Date]])</f>
        <v>30</v>
      </c>
    </row>
    <row r="3593" spans="1:5">
      <c r="A3593" t="s">
        <v>113</v>
      </c>
      <c r="B3593" t="s">
        <v>103</v>
      </c>
      <c r="C3593" s="5">
        <v>45495</v>
      </c>
      <c r="D3593">
        <v>109</v>
      </c>
      <c r="E3593">
        <f>WEEKNUM(Append321[[#This Row],[Date]])</f>
        <v>30</v>
      </c>
    </row>
    <row r="3594" spans="1:5">
      <c r="A3594" t="s">
        <v>113</v>
      </c>
      <c r="B3594" t="s">
        <v>103</v>
      </c>
      <c r="C3594" s="5">
        <v>45496</v>
      </c>
      <c r="D3594">
        <v>95</v>
      </c>
      <c r="E3594">
        <f>WEEKNUM(Append321[[#This Row],[Date]])</f>
        <v>30</v>
      </c>
    </row>
    <row r="3595" spans="1:5">
      <c r="A3595" t="s">
        <v>113</v>
      </c>
      <c r="B3595" t="s">
        <v>103</v>
      </c>
      <c r="C3595" s="5">
        <v>45522</v>
      </c>
      <c r="D3595">
        <v>22</v>
      </c>
      <c r="E3595">
        <f>WEEKNUM(Append321[[#This Row],[Date]])</f>
        <v>34</v>
      </c>
    </row>
    <row r="3596" spans="1:5">
      <c r="A3596" t="s">
        <v>113</v>
      </c>
      <c r="B3596" t="s">
        <v>103</v>
      </c>
      <c r="C3596" s="5">
        <v>45523</v>
      </c>
      <c r="D3596">
        <v>20</v>
      </c>
      <c r="E3596">
        <f>WEEKNUM(Append321[[#This Row],[Date]])</f>
        <v>34</v>
      </c>
    </row>
    <row r="3597" spans="1:5">
      <c r="A3597" t="s">
        <v>113</v>
      </c>
      <c r="B3597" t="s">
        <v>103</v>
      </c>
      <c r="C3597" s="5">
        <v>45524</v>
      </c>
      <c r="D3597">
        <v>19</v>
      </c>
      <c r="E3597">
        <f>WEEKNUM(Append321[[#This Row],[Date]])</f>
        <v>34</v>
      </c>
    </row>
    <row r="3598" spans="1:5">
      <c r="A3598" t="s">
        <v>113</v>
      </c>
      <c r="B3598" t="s">
        <v>103</v>
      </c>
      <c r="C3598" s="5">
        <v>45525</v>
      </c>
      <c r="D3598">
        <v>23</v>
      </c>
      <c r="E3598">
        <f>WEEKNUM(Append321[[#This Row],[Date]])</f>
        <v>34</v>
      </c>
    </row>
    <row r="3599" spans="1:5">
      <c r="A3599" t="s">
        <v>113</v>
      </c>
      <c r="B3599" t="s">
        <v>103</v>
      </c>
      <c r="C3599" s="5">
        <v>45526</v>
      </c>
      <c r="D3599">
        <v>19</v>
      </c>
      <c r="E3599">
        <f>WEEKNUM(Append321[[#This Row],[Date]])</f>
        <v>34</v>
      </c>
    </row>
    <row r="3600" spans="1:5">
      <c r="A3600" t="s">
        <v>113</v>
      </c>
      <c r="B3600" t="s">
        <v>103</v>
      </c>
      <c r="C3600" s="5">
        <v>45527</v>
      </c>
      <c r="D3600">
        <v>23</v>
      </c>
      <c r="E3600">
        <f>WEEKNUM(Append321[[#This Row],[Date]])</f>
        <v>34</v>
      </c>
    </row>
    <row r="3601" spans="1:5">
      <c r="A3601" t="s">
        <v>113</v>
      </c>
      <c r="B3601" t="s">
        <v>103</v>
      </c>
      <c r="C3601" s="5">
        <v>45528</v>
      </c>
      <c r="D3601">
        <v>18</v>
      </c>
      <c r="E3601">
        <f>WEEKNUM(Append321[[#This Row],[Date]])</f>
        <v>34</v>
      </c>
    </row>
    <row r="3602" spans="1:5">
      <c r="A3602" t="s">
        <v>113</v>
      </c>
      <c r="B3602" t="s">
        <v>103</v>
      </c>
      <c r="C3602" s="5">
        <v>45529</v>
      </c>
      <c r="D3602">
        <v>16</v>
      </c>
      <c r="E3602">
        <f>WEEKNUM(Append321[[#This Row],[Date]])</f>
        <v>35</v>
      </c>
    </row>
    <row r="3603" spans="1:5">
      <c r="A3603" t="s">
        <v>113</v>
      </c>
      <c r="B3603" t="s">
        <v>103</v>
      </c>
      <c r="C3603" s="5">
        <v>45530</v>
      </c>
      <c r="D3603">
        <v>23</v>
      </c>
      <c r="E3603">
        <f>WEEKNUM(Append321[[#This Row],[Date]])</f>
        <v>35</v>
      </c>
    </row>
    <row r="3604" spans="1:5">
      <c r="A3604" t="s">
        <v>113</v>
      </c>
      <c r="B3604" t="s">
        <v>104</v>
      </c>
      <c r="C3604" s="5">
        <v>45444</v>
      </c>
      <c r="D3604">
        <v>243</v>
      </c>
      <c r="E3604">
        <f>WEEKNUM(Append321[[#This Row],[Date]])</f>
        <v>22</v>
      </c>
    </row>
    <row r="3605" spans="1:5">
      <c r="A3605" t="s">
        <v>113</v>
      </c>
      <c r="B3605" t="s">
        <v>104</v>
      </c>
      <c r="C3605" s="5">
        <v>45445</v>
      </c>
      <c r="D3605">
        <v>210</v>
      </c>
      <c r="E3605">
        <f>WEEKNUM(Append321[[#This Row],[Date]])</f>
        <v>23</v>
      </c>
    </row>
    <row r="3606" spans="1:5">
      <c r="A3606" t="s">
        <v>113</v>
      </c>
      <c r="B3606" t="s">
        <v>104</v>
      </c>
      <c r="C3606" s="5">
        <v>45446</v>
      </c>
      <c r="D3606">
        <v>222</v>
      </c>
      <c r="E3606">
        <f>WEEKNUM(Append321[[#This Row],[Date]])</f>
        <v>23</v>
      </c>
    </row>
    <row r="3607" spans="1:5">
      <c r="A3607" t="s">
        <v>113</v>
      </c>
      <c r="B3607" t="s">
        <v>104</v>
      </c>
      <c r="C3607" s="5">
        <v>45447</v>
      </c>
      <c r="D3607">
        <v>186</v>
      </c>
      <c r="E3607">
        <f>WEEKNUM(Append321[[#This Row],[Date]])</f>
        <v>23</v>
      </c>
    </row>
    <row r="3608" spans="1:5">
      <c r="A3608" t="s">
        <v>113</v>
      </c>
      <c r="B3608" t="s">
        <v>104</v>
      </c>
      <c r="C3608" s="5">
        <v>45448</v>
      </c>
      <c r="D3608">
        <v>222</v>
      </c>
      <c r="E3608">
        <f>WEEKNUM(Append321[[#This Row],[Date]])</f>
        <v>23</v>
      </c>
    </row>
    <row r="3609" spans="1:5">
      <c r="A3609" t="s">
        <v>113</v>
      </c>
      <c r="B3609" t="s">
        <v>104</v>
      </c>
      <c r="C3609" s="5">
        <v>45449</v>
      </c>
      <c r="D3609">
        <v>229</v>
      </c>
      <c r="E3609">
        <f>WEEKNUM(Append321[[#This Row],[Date]])</f>
        <v>23</v>
      </c>
    </row>
    <row r="3610" spans="1:5">
      <c r="A3610" t="s">
        <v>113</v>
      </c>
      <c r="B3610" t="s">
        <v>104</v>
      </c>
      <c r="C3610" s="5">
        <v>45450</v>
      </c>
      <c r="D3610">
        <v>325</v>
      </c>
      <c r="E3610">
        <f>WEEKNUM(Append321[[#This Row],[Date]])</f>
        <v>23</v>
      </c>
    </row>
    <row r="3611" spans="1:5">
      <c r="A3611" t="s">
        <v>113</v>
      </c>
      <c r="B3611" t="s">
        <v>104</v>
      </c>
      <c r="C3611" s="5">
        <v>45464</v>
      </c>
      <c r="D3611">
        <v>243</v>
      </c>
      <c r="E3611">
        <f>WEEKNUM(Append321[[#This Row],[Date]])</f>
        <v>25</v>
      </c>
    </row>
    <row r="3612" spans="1:5">
      <c r="A3612" t="s">
        <v>113</v>
      </c>
      <c r="B3612" t="s">
        <v>104</v>
      </c>
      <c r="C3612" s="5">
        <v>45465</v>
      </c>
      <c r="D3612">
        <v>210</v>
      </c>
      <c r="E3612">
        <f>WEEKNUM(Append321[[#This Row],[Date]])</f>
        <v>25</v>
      </c>
    </row>
    <row r="3613" spans="1:5">
      <c r="A3613" t="s">
        <v>113</v>
      </c>
      <c r="B3613" t="s">
        <v>104</v>
      </c>
      <c r="C3613" s="5">
        <v>45466</v>
      </c>
      <c r="D3613">
        <v>222</v>
      </c>
      <c r="E3613">
        <f>WEEKNUM(Append321[[#This Row],[Date]])</f>
        <v>26</v>
      </c>
    </row>
    <row r="3614" spans="1:5">
      <c r="A3614" t="s">
        <v>113</v>
      </c>
      <c r="B3614" t="s">
        <v>104</v>
      </c>
      <c r="C3614" s="5">
        <v>45467</v>
      </c>
      <c r="D3614">
        <v>186</v>
      </c>
      <c r="E3614">
        <f>WEEKNUM(Append321[[#This Row],[Date]])</f>
        <v>26</v>
      </c>
    </row>
    <row r="3615" spans="1:5">
      <c r="A3615" t="s">
        <v>113</v>
      </c>
      <c r="B3615" t="s">
        <v>104</v>
      </c>
      <c r="C3615" s="5">
        <v>45468</v>
      </c>
      <c r="D3615">
        <v>222</v>
      </c>
      <c r="E3615">
        <f>WEEKNUM(Append321[[#This Row],[Date]])</f>
        <v>26</v>
      </c>
    </row>
    <row r="3616" spans="1:5">
      <c r="A3616" t="s">
        <v>113</v>
      </c>
      <c r="B3616" t="s">
        <v>104</v>
      </c>
      <c r="C3616" s="5">
        <v>45469</v>
      </c>
      <c r="D3616">
        <v>229</v>
      </c>
      <c r="E3616">
        <f>WEEKNUM(Append321[[#This Row],[Date]])</f>
        <v>26</v>
      </c>
    </row>
    <row r="3617" spans="1:5">
      <c r="A3617" t="s">
        <v>113</v>
      </c>
      <c r="B3617" t="s">
        <v>104</v>
      </c>
      <c r="C3617" s="5">
        <v>45470</v>
      </c>
      <c r="D3617">
        <v>325</v>
      </c>
      <c r="E3617">
        <f>WEEKNUM(Append321[[#This Row],[Date]])</f>
        <v>26</v>
      </c>
    </row>
    <row r="3618" spans="1:5">
      <c r="A3618" t="s">
        <v>113</v>
      </c>
      <c r="B3618" t="s">
        <v>104</v>
      </c>
      <c r="C3618" s="5">
        <v>45475</v>
      </c>
      <c r="D3618">
        <v>222</v>
      </c>
      <c r="E3618">
        <f>WEEKNUM(Append321[[#This Row],[Date]])</f>
        <v>27</v>
      </c>
    </row>
    <row r="3619" spans="1:5">
      <c r="A3619" t="s">
        <v>113</v>
      </c>
      <c r="B3619" t="s">
        <v>104</v>
      </c>
      <c r="C3619" s="5">
        <v>45476</v>
      </c>
      <c r="D3619">
        <v>214</v>
      </c>
      <c r="E3619">
        <f>WEEKNUM(Append321[[#This Row],[Date]])</f>
        <v>27</v>
      </c>
    </row>
    <row r="3620" spans="1:5">
      <c r="A3620" t="s">
        <v>113</v>
      </c>
      <c r="B3620" t="s">
        <v>104</v>
      </c>
      <c r="C3620" s="5">
        <v>45477</v>
      </c>
      <c r="D3620">
        <v>226</v>
      </c>
      <c r="E3620">
        <f>WEEKNUM(Append321[[#This Row],[Date]])</f>
        <v>27</v>
      </c>
    </row>
    <row r="3621" spans="1:5">
      <c r="A3621" t="s">
        <v>113</v>
      </c>
      <c r="B3621" t="s">
        <v>104</v>
      </c>
      <c r="C3621" s="5">
        <v>45478</v>
      </c>
      <c r="D3621">
        <v>276</v>
      </c>
      <c r="E3621">
        <f>WEEKNUM(Append321[[#This Row],[Date]])</f>
        <v>27</v>
      </c>
    </row>
    <row r="3622" spans="1:5">
      <c r="A3622" t="s">
        <v>113</v>
      </c>
      <c r="B3622" t="s">
        <v>104</v>
      </c>
      <c r="C3622" s="5">
        <v>45479</v>
      </c>
      <c r="D3622">
        <v>214</v>
      </c>
      <c r="E3622">
        <f>WEEKNUM(Append321[[#This Row],[Date]])</f>
        <v>27</v>
      </c>
    </row>
    <row r="3623" spans="1:5">
      <c r="A3623" t="s">
        <v>113</v>
      </c>
      <c r="B3623" t="s">
        <v>104</v>
      </c>
      <c r="C3623" s="5">
        <v>45480</v>
      </c>
      <c r="D3623">
        <v>190</v>
      </c>
      <c r="E3623">
        <f>WEEKNUM(Append321[[#This Row],[Date]])</f>
        <v>28</v>
      </c>
    </row>
    <row r="3624" spans="1:5">
      <c r="A3624" t="s">
        <v>113</v>
      </c>
      <c r="B3624" t="s">
        <v>104</v>
      </c>
      <c r="C3624" s="5">
        <v>45481</v>
      </c>
      <c r="D3624">
        <v>193</v>
      </c>
      <c r="E3624">
        <f>WEEKNUM(Append321[[#This Row],[Date]])</f>
        <v>28</v>
      </c>
    </row>
    <row r="3625" spans="1:5">
      <c r="A3625" t="s">
        <v>113</v>
      </c>
      <c r="B3625" t="s">
        <v>104</v>
      </c>
      <c r="C3625" s="5">
        <v>45482</v>
      </c>
      <c r="D3625">
        <v>274</v>
      </c>
      <c r="E3625">
        <f>WEEKNUM(Append321[[#This Row],[Date]])</f>
        <v>28</v>
      </c>
    </row>
    <row r="3626" spans="1:5">
      <c r="A3626" t="s">
        <v>113</v>
      </c>
      <c r="B3626" t="s">
        <v>104</v>
      </c>
      <c r="C3626" s="5">
        <v>45483</v>
      </c>
      <c r="D3626">
        <v>223</v>
      </c>
      <c r="E3626">
        <f>WEEKNUM(Append321[[#This Row],[Date]])</f>
        <v>28</v>
      </c>
    </row>
    <row r="3627" spans="1:5">
      <c r="A3627" t="s">
        <v>113</v>
      </c>
      <c r="B3627" t="s">
        <v>104</v>
      </c>
      <c r="C3627" s="5">
        <v>45484</v>
      </c>
      <c r="D3627">
        <v>244</v>
      </c>
      <c r="E3627">
        <f>WEEKNUM(Append321[[#This Row],[Date]])</f>
        <v>28</v>
      </c>
    </row>
    <row r="3628" spans="1:5">
      <c r="A3628" t="s">
        <v>113</v>
      </c>
      <c r="B3628" t="s">
        <v>104</v>
      </c>
      <c r="C3628" s="5">
        <v>45485</v>
      </c>
      <c r="D3628">
        <v>247</v>
      </c>
      <c r="E3628">
        <f>WEEKNUM(Append321[[#This Row],[Date]])</f>
        <v>28</v>
      </c>
    </row>
    <row r="3629" spans="1:5">
      <c r="A3629" t="s">
        <v>113</v>
      </c>
      <c r="B3629" t="s">
        <v>104</v>
      </c>
      <c r="C3629" s="5">
        <v>45486</v>
      </c>
      <c r="D3629">
        <v>229</v>
      </c>
      <c r="E3629">
        <f>WEEKNUM(Append321[[#This Row],[Date]])</f>
        <v>28</v>
      </c>
    </row>
    <row r="3630" spans="1:5">
      <c r="A3630" t="s">
        <v>113</v>
      </c>
      <c r="B3630" t="s">
        <v>104</v>
      </c>
      <c r="C3630" s="5">
        <v>45487</v>
      </c>
      <c r="D3630">
        <v>239</v>
      </c>
      <c r="E3630">
        <f>WEEKNUM(Append321[[#This Row],[Date]])</f>
        <v>29</v>
      </c>
    </row>
    <row r="3631" spans="1:5">
      <c r="A3631" t="s">
        <v>113</v>
      </c>
      <c r="B3631" t="s">
        <v>104</v>
      </c>
      <c r="C3631" s="5">
        <v>45488</v>
      </c>
      <c r="D3631">
        <v>213</v>
      </c>
      <c r="E3631">
        <f>WEEKNUM(Append321[[#This Row],[Date]])</f>
        <v>29</v>
      </c>
    </row>
    <row r="3632" spans="1:5">
      <c r="A3632" t="s">
        <v>113</v>
      </c>
      <c r="B3632" t="s">
        <v>104</v>
      </c>
      <c r="C3632" s="5">
        <v>45489</v>
      </c>
      <c r="D3632">
        <v>245</v>
      </c>
      <c r="E3632">
        <f>WEEKNUM(Append321[[#This Row],[Date]])</f>
        <v>29</v>
      </c>
    </row>
    <row r="3633" spans="1:5">
      <c r="A3633" t="s">
        <v>113</v>
      </c>
      <c r="B3633" t="s">
        <v>104</v>
      </c>
      <c r="C3633" s="5">
        <v>45490</v>
      </c>
      <c r="D3633">
        <v>210</v>
      </c>
      <c r="E3633">
        <f>WEEKNUM(Append321[[#This Row],[Date]])</f>
        <v>29</v>
      </c>
    </row>
    <row r="3634" spans="1:5">
      <c r="A3634" t="s">
        <v>113</v>
      </c>
      <c r="B3634" t="s">
        <v>104</v>
      </c>
      <c r="C3634" s="5">
        <v>45491</v>
      </c>
      <c r="D3634">
        <v>254</v>
      </c>
      <c r="E3634">
        <f>WEEKNUM(Append321[[#This Row],[Date]])</f>
        <v>29</v>
      </c>
    </row>
    <row r="3635" spans="1:5">
      <c r="A3635" t="s">
        <v>113</v>
      </c>
      <c r="B3635" t="s">
        <v>104</v>
      </c>
      <c r="C3635" s="5">
        <v>45492</v>
      </c>
      <c r="D3635">
        <v>234</v>
      </c>
      <c r="E3635">
        <f>WEEKNUM(Append321[[#This Row],[Date]])</f>
        <v>29</v>
      </c>
    </row>
    <row r="3636" spans="1:5">
      <c r="A3636" t="s">
        <v>113</v>
      </c>
      <c r="B3636" t="s">
        <v>104</v>
      </c>
      <c r="C3636" s="5">
        <v>45493</v>
      </c>
      <c r="D3636">
        <v>228</v>
      </c>
      <c r="E3636">
        <f>WEEKNUM(Append321[[#This Row],[Date]])</f>
        <v>29</v>
      </c>
    </row>
    <row r="3637" spans="1:5">
      <c r="A3637" t="s">
        <v>113</v>
      </c>
      <c r="B3637" t="s">
        <v>104</v>
      </c>
      <c r="C3637" s="5">
        <v>45494</v>
      </c>
      <c r="D3637">
        <v>246</v>
      </c>
      <c r="E3637">
        <f>WEEKNUM(Append321[[#This Row],[Date]])</f>
        <v>30</v>
      </c>
    </row>
    <row r="3638" spans="1:5">
      <c r="A3638" t="s">
        <v>113</v>
      </c>
      <c r="B3638" t="s">
        <v>104</v>
      </c>
      <c r="C3638" s="5">
        <v>45495</v>
      </c>
      <c r="D3638">
        <v>219</v>
      </c>
      <c r="E3638">
        <f>WEEKNUM(Append321[[#This Row],[Date]])</f>
        <v>30</v>
      </c>
    </row>
    <row r="3639" spans="1:5">
      <c r="A3639" t="s">
        <v>113</v>
      </c>
      <c r="B3639" t="s">
        <v>104</v>
      </c>
      <c r="C3639" s="5">
        <v>45496</v>
      </c>
      <c r="D3639">
        <v>216</v>
      </c>
      <c r="E3639">
        <f>WEEKNUM(Append321[[#This Row],[Date]])</f>
        <v>30</v>
      </c>
    </row>
    <row r="3640" spans="1:5">
      <c r="A3640" t="s">
        <v>113</v>
      </c>
      <c r="B3640" t="s">
        <v>104</v>
      </c>
      <c r="C3640" s="5">
        <v>45522</v>
      </c>
      <c r="D3640">
        <v>136</v>
      </c>
      <c r="E3640">
        <f>WEEKNUM(Append321[[#This Row],[Date]])</f>
        <v>34</v>
      </c>
    </row>
    <row r="3641" spans="1:5">
      <c r="A3641" t="s">
        <v>113</v>
      </c>
      <c r="B3641" t="s">
        <v>104</v>
      </c>
      <c r="C3641" s="5">
        <v>45523</v>
      </c>
      <c r="D3641">
        <v>146</v>
      </c>
      <c r="E3641">
        <f>WEEKNUM(Append321[[#This Row],[Date]])</f>
        <v>34</v>
      </c>
    </row>
    <row r="3642" spans="1:5">
      <c r="A3642" t="s">
        <v>113</v>
      </c>
      <c r="B3642" t="s">
        <v>104</v>
      </c>
      <c r="C3642" s="5">
        <v>45524</v>
      </c>
      <c r="D3642">
        <v>111</v>
      </c>
      <c r="E3642">
        <f>WEEKNUM(Append321[[#This Row],[Date]])</f>
        <v>34</v>
      </c>
    </row>
    <row r="3643" spans="1:5">
      <c r="A3643" t="s">
        <v>113</v>
      </c>
      <c r="B3643" t="s">
        <v>104</v>
      </c>
      <c r="C3643" s="5">
        <v>45525</v>
      </c>
      <c r="D3643">
        <v>130</v>
      </c>
      <c r="E3643">
        <f>WEEKNUM(Append321[[#This Row],[Date]])</f>
        <v>34</v>
      </c>
    </row>
    <row r="3644" spans="1:5">
      <c r="A3644" t="s">
        <v>113</v>
      </c>
      <c r="B3644" t="s">
        <v>104</v>
      </c>
      <c r="C3644" s="5">
        <v>45526</v>
      </c>
      <c r="D3644">
        <v>132</v>
      </c>
      <c r="E3644">
        <f>WEEKNUM(Append321[[#This Row],[Date]])</f>
        <v>34</v>
      </c>
    </row>
    <row r="3645" spans="1:5">
      <c r="A3645" t="s">
        <v>113</v>
      </c>
      <c r="B3645" t="s">
        <v>104</v>
      </c>
      <c r="C3645" s="5">
        <v>45527</v>
      </c>
      <c r="D3645">
        <v>106</v>
      </c>
      <c r="E3645">
        <f>WEEKNUM(Append321[[#This Row],[Date]])</f>
        <v>34</v>
      </c>
    </row>
    <row r="3646" spans="1:5">
      <c r="A3646" t="s">
        <v>113</v>
      </c>
      <c r="B3646" t="s">
        <v>104</v>
      </c>
      <c r="C3646" s="5">
        <v>45528</v>
      </c>
      <c r="D3646">
        <v>106</v>
      </c>
      <c r="E3646">
        <f>WEEKNUM(Append321[[#This Row],[Date]])</f>
        <v>34</v>
      </c>
    </row>
    <row r="3647" spans="1:5">
      <c r="A3647" t="s">
        <v>113</v>
      </c>
      <c r="B3647" t="s">
        <v>104</v>
      </c>
      <c r="C3647" s="5">
        <v>45529</v>
      </c>
      <c r="D3647">
        <v>117</v>
      </c>
      <c r="E3647">
        <f>WEEKNUM(Append321[[#This Row],[Date]])</f>
        <v>35</v>
      </c>
    </row>
    <row r="3648" spans="1:5">
      <c r="A3648" t="s">
        <v>113</v>
      </c>
      <c r="B3648" t="s">
        <v>104</v>
      </c>
      <c r="C3648" s="5">
        <v>45530</v>
      </c>
      <c r="D3648">
        <v>127</v>
      </c>
      <c r="E3648">
        <f>WEEKNUM(Append321[[#This Row],[Date]])</f>
        <v>35</v>
      </c>
    </row>
    <row r="3649" spans="1:5">
      <c r="A3649" t="s">
        <v>113</v>
      </c>
      <c r="B3649" t="s">
        <v>105</v>
      </c>
      <c r="C3649" s="5">
        <v>45444</v>
      </c>
      <c r="D3649">
        <v>39</v>
      </c>
      <c r="E3649">
        <f>WEEKNUM(Append321[[#This Row],[Date]])</f>
        <v>22</v>
      </c>
    </row>
    <row r="3650" spans="1:5">
      <c r="A3650" t="s">
        <v>113</v>
      </c>
      <c r="B3650" t="s">
        <v>105</v>
      </c>
      <c r="C3650" s="5">
        <v>45445</v>
      </c>
      <c r="D3650">
        <v>41</v>
      </c>
      <c r="E3650">
        <f>WEEKNUM(Append321[[#This Row],[Date]])</f>
        <v>23</v>
      </c>
    </row>
    <row r="3651" spans="1:5">
      <c r="A3651" t="s">
        <v>113</v>
      </c>
      <c r="B3651" t="s">
        <v>105</v>
      </c>
      <c r="C3651" s="5">
        <v>45446</v>
      </c>
      <c r="D3651">
        <v>44</v>
      </c>
      <c r="E3651">
        <f>WEEKNUM(Append321[[#This Row],[Date]])</f>
        <v>23</v>
      </c>
    </row>
    <row r="3652" spans="1:5">
      <c r="A3652" t="s">
        <v>113</v>
      </c>
      <c r="B3652" t="s">
        <v>105</v>
      </c>
      <c r="C3652" s="5">
        <v>45447</v>
      </c>
      <c r="D3652">
        <v>51</v>
      </c>
      <c r="E3652">
        <f>WEEKNUM(Append321[[#This Row],[Date]])</f>
        <v>23</v>
      </c>
    </row>
    <row r="3653" spans="1:5">
      <c r="A3653" t="s">
        <v>113</v>
      </c>
      <c r="B3653" t="s">
        <v>105</v>
      </c>
      <c r="C3653" s="5">
        <v>45448</v>
      </c>
      <c r="D3653">
        <v>48</v>
      </c>
      <c r="E3653">
        <f>WEEKNUM(Append321[[#This Row],[Date]])</f>
        <v>23</v>
      </c>
    </row>
    <row r="3654" spans="1:5">
      <c r="A3654" t="s">
        <v>113</v>
      </c>
      <c r="B3654" t="s">
        <v>105</v>
      </c>
      <c r="C3654" s="5">
        <v>45449</v>
      </c>
      <c r="D3654">
        <v>54</v>
      </c>
      <c r="E3654">
        <f>WEEKNUM(Append321[[#This Row],[Date]])</f>
        <v>23</v>
      </c>
    </row>
    <row r="3655" spans="1:5">
      <c r="A3655" t="s">
        <v>113</v>
      </c>
      <c r="B3655" t="s">
        <v>105</v>
      </c>
      <c r="C3655" s="5">
        <v>45450</v>
      </c>
      <c r="D3655">
        <v>40</v>
      </c>
      <c r="E3655">
        <f>WEEKNUM(Append321[[#This Row],[Date]])</f>
        <v>23</v>
      </c>
    </row>
    <row r="3656" spans="1:5">
      <c r="A3656" t="s">
        <v>113</v>
      </c>
      <c r="B3656" t="s">
        <v>105</v>
      </c>
      <c r="C3656" s="5">
        <v>45464</v>
      </c>
      <c r="D3656">
        <v>39</v>
      </c>
      <c r="E3656">
        <f>WEEKNUM(Append321[[#This Row],[Date]])</f>
        <v>25</v>
      </c>
    </row>
    <row r="3657" spans="1:5">
      <c r="A3657" t="s">
        <v>113</v>
      </c>
      <c r="B3657" t="s">
        <v>105</v>
      </c>
      <c r="C3657" s="5">
        <v>45465</v>
      </c>
      <c r="D3657">
        <v>41</v>
      </c>
      <c r="E3657">
        <f>WEEKNUM(Append321[[#This Row],[Date]])</f>
        <v>25</v>
      </c>
    </row>
    <row r="3658" spans="1:5">
      <c r="A3658" t="s">
        <v>113</v>
      </c>
      <c r="B3658" t="s">
        <v>105</v>
      </c>
      <c r="C3658" s="5">
        <v>45466</v>
      </c>
      <c r="D3658">
        <v>44</v>
      </c>
      <c r="E3658">
        <f>WEEKNUM(Append321[[#This Row],[Date]])</f>
        <v>26</v>
      </c>
    </row>
    <row r="3659" spans="1:5">
      <c r="A3659" t="s">
        <v>113</v>
      </c>
      <c r="B3659" t="s">
        <v>105</v>
      </c>
      <c r="C3659" s="5">
        <v>45467</v>
      </c>
      <c r="D3659">
        <v>51</v>
      </c>
      <c r="E3659">
        <f>WEEKNUM(Append321[[#This Row],[Date]])</f>
        <v>26</v>
      </c>
    </row>
    <row r="3660" spans="1:5">
      <c r="A3660" t="s">
        <v>113</v>
      </c>
      <c r="B3660" t="s">
        <v>105</v>
      </c>
      <c r="C3660" s="5">
        <v>45468</v>
      </c>
      <c r="D3660">
        <v>48</v>
      </c>
      <c r="E3660">
        <f>WEEKNUM(Append321[[#This Row],[Date]])</f>
        <v>26</v>
      </c>
    </row>
    <row r="3661" spans="1:5">
      <c r="A3661" t="s">
        <v>113</v>
      </c>
      <c r="B3661" t="s">
        <v>105</v>
      </c>
      <c r="C3661" s="5">
        <v>45469</v>
      </c>
      <c r="D3661">
        <v>54</v>
      </c>
      <c r="E3661">
        <f>WEEKNUM(Append321[[#This Row],[Date]])</f>
        <v>26</v>
      </c>
    </row>
    <row r="3662" spans="1:5">
      <c r="A3662" t="s">
        <v>113</v>
      </c>
      <c r="B3662" t="s">
        <v>105</v>
      </c>
      <c r="C3662" s="5">
        <v>45470</v>
      </c>
      <c r="D3662">
        <v>40</v>
      </c>
      <c r="E3662">
        <f>WEEKNUM(Append321[[#This Row],[Date]])</f>
        <v>26</v>
      </c>
    </row>
    <row r="3663" spans="1:5">
      <c r="A3663" t="s">
        <v>113</v>
      </c>
      <c r="B3663" t="s">
        <v>105</v>
      </c>
      <c r="C3663" s="5">
        <v>45522</v>
      </c>
      <c r="D3663">
        <v>50</v>
      </c>
      <c r="E3663">
        <f>WEEKNUM(Append321[[#This Row],[Date]])</f>
        <v>34</v>
      </c>
    </row>
    <row r="3664" spans="1:5">
      <c r="A3664" t="s">
        <v>113</v>
      </c>
      <c r="B3664" t="s">
        <v>105</v>
      </c>
      <c r="C3664" s="5">
        <v>45523</v>
      </c>
      <c r="D3664">
        <v>60</v>
      </c>
      <c r="E3664">
        <f>WEEKNUM(Append321[[#This Row],[Date]])</f>
        <v>34</v>
      </c>
    </row>
    <row r="3665" spans="1:5">
      <c r="A3665" t="s">
        <v>113</v>
      </c>
      <c r="B3665" t="s">
        <v>105</v>
      </c>
      <c r="C3665" s="5">
        <v>45524</v>
      </c>
      <c r="D3665">
        <v>50</v>
      </c>
      <c r="E3665">
        <f>WEEKNUM(Append321[[#This Row],[Date]])</f>
        <v>34</v>
      </c>
    </row>
    <row r="3666" spans="1:5">
      <c r="A3666" t="s">
        <v>113</v>
      </c>
      <c r="B3666" t="s">
        <v>105</v>
      </c>
      <c r="C3666" s="5">
        <v>45525</v>
      </c>
      <c r="D3666">
        <v>49</v>
      </c>
      <c r="E3666">
        <f>WEEKNUM(Append321[[#This Row],[Date]])</f>
        <v>34</v>
      </c>
    </row>
    <row r="3667" spans="1:5">
      <c r="A3667" t="s">
        <v>113</v>
      </c>
      <c r="B3667" t="s">
        <v>105</v>
      </c>
      <c r="C3667" s="5">
        <v>45526</v>
      </c>
      <c r="D3667">
        <v>44</v>
      </c>
      <c r="E3667">
        <f>WEEKNUM(Append321[[#This Row],[Date]])</f>
        <v>34</v>
      </c>
    </row>
    <row r="3668" spans="1:5">
      <c r="A3668" t="s">
        <v>113</v>
      </c>
      <c r="B3668" t="s">
        <v>105</v>
      </c>
      <c r="C3668" s="5">
        <v>45527</v>
      </c>
      <c r="D3668">
        <v>54</v>
      </c>
      <c r="E3668">
        <f>WEEKNUM(Append321[[#This Row],[Date]])</f>
        <v>34</v>
      </c>
    </row>
    <row r="3669" spans="1:5">
      <c r="A3669" t="s">
        <v>113</v>
      </c>
      <c r="B3669" t="s">
        <v>105</v>
      </c>
      <c r="C3669" s="5">
        <v>45528</v>
      </c>
      <c r="D3669">
        <v>51</v>
      </c>
      <c r="E3669">
        <f>WEEKNUM(Append321[[#This Row],[Date]])</f>
        <v>34</v>
      </c>
    </row>
    <row r="3670" spans="1:5">
      <c r="A3670" t="s">
        <v>113</v>
      </c>
      <c r="B3670" t="s">
        <v>105</v>
      </c>
      <c r="C3670" s="5">
        <v>45529</v>
      </c>
      <c r="D3670">
        <v>57</v>
      </c>
      <c r="E3670">
        <f>WEEKNUM(Append321[[#This Row],[Date]])</f>
        <v>35</v>
      </c>
    </row>
    <row r="3671" spans="1:5">
      <c r="A3671" t="s">
        <v>113</v>
      </c>
      <c r="B3671" t="s">
        <v>105</v>
      </c>
      <c r="C3671" s="5">
        <v>45530</v>
      </c>
      <c r="D3671">
        <v>50</v>
      </c>
      <c r="E3671">
        <f>WEEKNUM(Append321[[#This Row],[Date]])</f>
        <v>35</v>
      </c>
    </row>
    <row r="3672" spans="1:5">
      <c r="A3672" t="s">
        <v>113</v>
      </c>
      <c r="B3672" t="s">
        <v>106</v>
      </c>
      <c r="C3672" s="5">
        <v>45444</v>
      </c>
      <c r="D3672">
        <v>184</v>
      </c>
      <c r="E3672">
        <f>WEEKNUM(Append321[[#This Row],[Date]])</f>
        <v>22</v>
      </c>
    </row>
    <row r="3673" spans="1:5">
      <c r="A3673" t="s">
        <v>113</v>
      </c>
      <c r="B3673" t="s">
        <v>106</v>
      </c>
      <c r="C3673" s="5">
        <v>45445</v>
      </c>
      <c r="D3673">
        <v>202</v>
      </c>
      <c r="E3673">
        <f>WEEKNUM(Append321[[#This Row],[Date]])</f>
        <v>23</v>
      </c>
    </row>
    <row r="3674" spans="1:5">
      <c r="A3674" t="s">
        <v>113</v>
      </c>
      <c r="B3674" t="s">
        <v>106</v>
      </c>
      <c r="C3674" s="5">
        <v>45446</v>
      </c>
      <c r="D3674">
        <v>204</v>
      </c>
      <c r="E3674">
        <f>WEEKNUM(Append321[[#This Row],[Date]])</f>
        <v>23</v>
      </c>
    </row>
    <row r="3675" spans="1:5">
      <c r="A3675" t="s">
        <v>113</v>
      </c>
      <c r="B3675" t="s">
        <v>106</v>
      </c>
      <c r="C3675" s="5">
        <v>45447</v>
      </c>
      <c r="D3675">
        <v>235</v>
      </c>
      <c r="E3675">
        <f>WEEKNUM(Append321[[#This Row],[Date]])</f>
        <v>23</v>
      </c>
    </row>
    <row r="3676" spans="1:5">
      <c r="A3676" t="s">
        <v>113</v>
      </c>
      <c r="B3676" t="s">
        <v>106</v>
      </c>
      <c r="C3676" s="5">
        <v>45448</v>
      </c>
      <c r="D3676">
        <v>215</v>
      </c>
      <c r="E3676">
        <f>WEEKNUM(Append321[[#This Row],[Date]])</f>
        <v>23</v>
      </c>
    </row>
    <row r="3677" spans="1:5">
      <c r="A3677" t="s">
        <v>113</v>
      </c>
      <c r="B3677" t="s">
        <v>106</v>
      </c>
      <c r="C3677" s="5">
        <v>45449</v>
      </c>
      <c r="D3677">
        <v>193</v>
      </c>
      <c r="E3677">
        <f>WEEKNUM(Append321[[#This Row],[Date]])</f>
        <v>23</v>
      </c>
    </row>
    <row r="3678" spans="1:5">
      <c r="A3678" t="s">
        <v>113</v>
      </c>
      <c r="B3678" t="s">
        <v>106</v>
      </c>
      <c r="C3678" s="5">
        <v>45450</v>
      </c>
      <c r="D3678">
        <v>234</v>
      </c>
      <c r="E3678">
        <f>WEEKNUM(Append321[[#This Row],[Date]])</f>
        <v>23</v>
      </c>
    </row>
    <row r="3679" spans="1:5">
      <c r="A3679" t="s">
        <v>113</v>
      </c>
      <c r="B3679" t="s">
        <v>106</v>
      </c>
      <c r="C3679" s="5">
        <v>45464</v>
      </c>
      <c r="D3679">
        <v>184</v>
      </c>
      <c r="E3679">
        <f>WEEKNUM(Append321[[#This Row],[Date]])</f>
        <v>25</v>
      </c>
    </row>
    <row r="3680" spans="1:5">
      <c r="A3680" t="s">
        <v>113</v>
      </c>
      <c r="B3680" t="s">
        <v>106</v>
      </c>
      <c r="C3680" s="5">
        <v>45465</v>
      </c>
      <c r="D3680">
        <v>202</v>
      </c>
      <c r="E3680">
        <f>WEEKNUM(Append321[[#This Row],[Date]])</f>
        <v>25</v>
      </c>
    </row>
    <row r="3681" spans="1:5">
      <c r="A3681" t="s">
        <v>113</v>
      </c>
      <c r="B3681" t="s">
        <v>106</v>
      </c>
      <c r="C3681" s="5">
        <v>45466</v>
      </c>
      <c r="D3681">
        <v>204</v>
      </c>
      <c r="E3681">
        <f>WEEKNUM(Append321[[#This Row],[Date]])</f>
        <v>26</v>
      </c>
    </row>
    <row r="3682" spans="1:5">
      <c r="A3682" t="s">
        <v>113</v>
      </c>
      <c r="B3682" t="s">
        <v>106</v>
      </c>
      <c r="C3682" s="5">
        <v>45467</v>
      </c>
      <c r="D3682">
        <v>235</v>
      </c>
      <c r="E3682">
        <f>WEEKNUM(Append321[[#This Row],[Date]])</f>
        <v>26</v>
      </c>
    </row>
    <row r="3683" spans="1:5">
      <c r="A3683" t="s">
        <v>113</v>
      </c>
      <c r="B3683" t="s">
        <v>106</v>
      </c>
      <c r="C3683" s="5">
        <v>45468</v>
      </c>
      <c r="D3683">
        <v>215</v>
      </c>
      <c r="E3683">
        <f>WEEKNUM(Append321[[#This Row],[Date]])</f>
        <v>26</v>
      </c>
    </row>
    <row r="3684" spans="1:5">
      <c r="A3684" t="s">
        <v>113</v>
      </c>
      <c r="B3684" t="s">
        <v>106</v>
      </c>
      <c r="C3684" s="5">
        <v>45469</v>
      </c>
      <c r="D3684">
        <v>193</v>
      </c>
      <c r="E3684">
        <f>WEEKNUM(Append321[[#This Row],[Date]])</f>
        <v>26</v>
      </c>
    </row>
    <row r="3685" spans="1:5">
      <c r="A3685" t="s">
        <v>113</v>
      </c>
      <c r="B3685" t="s">
        <v>106</v>
      </c>
      <c r="C3685" s="5">
        <v>45470</v>
      </c>
      <c r="D3685">
        <v>234</v>
      </c>
      <c r="E3685">
        <f>WEEKNUM(Append321[[#This Row],[Date]])</f>
        <v>26</v>
      </c>
    </row>
    <row r="3686" spans="1:5">
      <c r="A3686" t="s">
        <v>113</v>
      </c>
      <c r="B3686" t="s">
        <v>106</v>
      </c>
      <c r="C3686" s="5">
        <v>45475</v>
      </c>
      <c r="D3686">
        <v>209</v>
      </c>
      <c r="E3686">
        <f>WEEKNUM(Append321[[#This Row],[Date]])</f>
        <v>27</v>
      </c>
    </row>
    <row r="3687" spans="1:5">
      <c r="A3687" t="s">
        <v>113</v>
      </c>
      <c r="B3687" t="s">
        <v>106</v>
      </c>
      <c r="C3687" s="5">
        <v>45476</v>
      </c>
      <c r="D3687">
        <v>147</v>
      </c>
      <c r="E3687">
        <f>WEEKNUM(Append321[[#This Row],[Date]])</f>
        <v>27</v>
      </c>
    </row>
    <row r="3688" spans="1:5">
      <c r="A3688" t="s">
        <v>113</v>
      </c>
      <c r="B3688" t="s">
        <v>106</v>
      </c>
      <c r="C3688" s="5">
        <v>45477</v>
      </c>
      <c r="D3688">
        <v>176</v>
      </c>
      <c r="E3688">
        <f>WEEKNUM(Append321[[#This Row],[Date]])</f>
        <v>27</v>
      </c>
    </row>
    <row r="3689" spans="1:5">
      <c r="A3689" t="s">
        <v>113</v>
      </c>
      <c r="B3689" t="s">
        <v>106</v>
      </c>
      <c r="C3689" s="5">
        <v>45478</v>
      </c>
      <c r="D3689">
        <v>166</v>
      </c>
      <c r="E3689">
        <f>WEEKNUM(Append321[[#This Row],[Date]])</f>
        <v>27</v>
      </c>
    </row>
    <row r="3690" spans="1:5">
      <c r="A3690" t="s">
        <v>113</v>
      </c>
      <c r="B3690" t="s">
        <v>106</v>
      </c>
      <c r="C3690" s="5">
        <v>45479</v>
      </c>
      <c r="D3690">
        <v>190</v>
      </c>
      <c r="E3690">
        <f>WEEKNUM(Append321[[#This Row],[Date]])</f>
        <v>27</v>
      </c>
    </row>
    <row r="3691" spans="1:5">
      <c r="A3691" t="s">
        <v>113</v>
      </c>
      <c r="B3691" t="s">
        <v>106</v>
      </c>
      <c r="C3691" s="5">
        <v>45480</v>
      </c>
      <c r="D3691">
        <v>189</v>
      </c>
      <c r="E3691">
        <f>WEEKNUM(Append321[[#This Row],[Date]])</f>
        <v>28</v>
      </c>
    </row>
    <row r="3692" spans="1:5">
      <c r="A3692" t="s">
        <v>113</v>
      </c>
      <c r="B3692" t="s">
        <v>106</v>
      </c>
      <c r="C3692" s="5">
        <v>45481</v>
      </c>
      <c r="D3692">
        <v>164</v>
      </c>
      <c r="E3692">
        <f>WEEKNUM(Append321[[#This Row],[Date]])</f>
        <v>28</v>
      </c>
    </row>
    <row r="3693" spans="1:5">
      <c r="A3693" t="s">
        <v>113</v>
      </c>
      <c r="B3693" t="s">
        <v>106</v>
      </c>
      <c r="C3693" s="5">
        <v>45482</v>
      </c>
      <c r="D3693">
        <v>219</v>
      </c>
      <c r="E3693">
        <f>WEEKNUM(Append321[[#This Row],[Date]])</f>
        <v>28</v>
      </c>
    </row>
    <row r="3694" spans="1:5">
      <c r="A3694" t="s">
        <v>113</v>
      </c>
      <c r="B3694" t="s">
        <v>106</v>
      </c>
      <c r="C3694" s="5">
        <v>45483</v>
      </c>
      <c r="D3694">
        <v>158</v>
      </c>
      <c r="E3694">
        <f>WEEKNUM(Append321[[#This Row],[Date]])</f>
        <v>28</v>
      </c>
    </row>
    <row r="3695" spans="1:5">
      <c r="A3695" t="s">
        <v>113</v>
      </c>
      <c r="B3695" t="s">
        <v>106</v>
      </c>
      <c r="C3695" s="5">
        <v>45484</v>
      </c>
      <c r="D3695">
        <v>180</v>
      </c>
      <c r="E3695">
        <f>WEEKNUM(Append321[[#This Row],[Date]])</f>
        <v>28</v>
      </c>
    </row>
    <row r="3696" spans="1:5">
      <c r="A3696" t="s">
        <v>113</v>
      </c>
      <c r="B3696" t="s">
        <v>106</v>
      </c>
      <c r="C3696" s="5">
        <v>45485</v>
      </c>
      <c r="D3696">
        <v>166</v>
      </c>
      <c r="E3696">
        <f>WEEKNUM(Append321[[#This Row],[Date]])</f>
        <v>28</v>
      </c>
    </row>
    <row r="3697" spans="1:5">
      <c r="A3697" t="s">
        <v>113</v>
      </c>
      <c r="B3697" t="s">
        <v>106</v>
      </c>
      <c r="C3697" s="5">
        <v>45486</v>
      </c>
      <c r="D3697">
        <v>147</v>
      </c>
      <c r="E3697">
        <f>WEEKNUM(Append321[[#This Row],[Date]])</f>
        <v>28</v>
      </c>
    </row>
    <row r="3698" spans="1:5">
      <c r="A3698" t="s">
        <v>113</v>
      </c>
      <c r="B3698" t="s">
        <v>106</v>
      </c>
      <c r="C3698" s="5">
        <v>45487</v>
      </c>
      <c r="D3698">
        <v>162</v>
      </c>
      <c r="E3698">
        <f>WEEKNUM(Append321[[#This Row],[Date]])</f>
        <v>29</v>
      </c>
    </row>
    <row r="3699" spans="1:5">
      <c r="A3699" t="s">
        <v>113</v>
      </c>
      <c r="B3699" t="s">
        <v>106</v>
      </c>
      <c r="C3699" s="5">
        <v>45488</v>
      </c>
      <c r="D3699">
        <v>157</v>
      </c>
      <c r="E3699">
        <f>WEEKNUM(Append321[[#This Row],[Date]])</f>
        <v>29</v>
      </c>
    </row>
    <row r="3700" spans="1:5">
      <c r="A3700" t="s">
        <v>113</v>
      </c>
      <c r="B3700" t="s">
        <v>106</v>
      </c>
      <c r="C3700" s="5">
        <v>45489</v>
      </c>
      <c r="D3700">
        <v>187</v>
      </c>
      <c r="E3700">
        <f>WEEKNUM(Append321[[#This Row],[Date]])</f>
        <v>29</v>
      </c>
    </row>
    <row r="3701" spans="1:5">
      <c r="A3701" t="s">
        <v>113</v>
      </c>
      <c r="B3701" t="s">
        <v>106</v>
      </c>
      <c r="C3701" s="5">
        <v>45490</v>
      </c>
      <c r="D3701">
        <v>154</v>
      </c>
      <c r="E3701">
        <f>WEEKNUM(Append321[[#This Row],[Date]])</f>
        <v>29</v>
      </c>
    </row>
    <row r="3702" spans="1:5">
      <c r="A3702" t="s">
        <v>113</v>
      </c>
      <c r="B3702" t="s">
        <v>106</v>
      </c>
      <c r="C3702" s="5">
        <v>45491</v>
      </c>
      <c r="D3702">
        <v>178</v>
      </c>
      <c r="E3702">
        <f>WEEKNUM(Append321[[#This Row],[Date]])</f>
        <v>29</v>
      </c>
    </row>
    <row r="3703" spans="1:5">
      <c r="A3703" t="s">
        <v>113</v>
      </c>
      <c r="B3703" t="s">
        <v>106</v>
      </c>
      <c r="C3703" s="5">
        <v>45492</v>
      </c>
      <c r="D3703">
        <v>191</v>
      </c>
      <c r="E3703">
        <f>WEEKNUM(Append321[[#This Row],[Date]])</f>
        <v>29</v>
      </c>
    </row>
    <row r="3704" spans="1:5">
      <c r="A3704" t="s">
        <v>113</v>
      </c>
      <c r="B3704" t="s">
        <v>106</v>
      </c>
      <c r="C3704" s="5">
        <v>45493</v>
      </c>
      <c r="D3704">
        <v>152</v>
      </c>
      <c r="E3704">
        <f>WEEKNUM(Append321[[#This Row],[Date]])</f>
        <v>29</v>
      </c>
    </row>
    <row r="3705" spans="1:5">
      <c r="A3705" t="s">
        <v>113</v>
      </c>
      <c r="B3705" t="s">
        <v>106</v>
      </c>
      <c r="C3705" s="5">
        <v>45494</v>
      </c>
      <c r="D3705">
        <v>183</v>
      </c>
      <c r="E3705">
        <f>WEEKNUM(Append321[[#This Row],[Date]])</f>
        <v>30</v>
      </c>
    </row>
    <row r="3706" spans="1:5">
      <c r="A3706" t="s">
        <v>113</v>
      </c>
      <c r="B3706" t="s">
        <v>106</v>
      </c>
      <c r="C3706" s="5">
        <v>45495</v>
      </c>
      <c r="D3706">
        <v>188</v>
      </c>
      <c r="E3706">
        <f>WEEKNUM(Append321[[#This Row],[Date]])</f>
        <v>30</v>
      </c>
    </row>
    <row r="3707" spans="1:5">
      <c r="A3707" t="s">
        <v>113</v>
      </c>
      <c r="B3707" t="s">
        <v>106</v>
      </c>
      <c r="C3707" s="5">
        <v>45496</v>
      </c>
      <c r="D3707">
        <v>195</v>
      </c>
      <c r="E3707">
        <f>WEEKNUM(Append321[[#This Row],[Date]])</f>
        <v>30</v>
      </c>
    </row>
    <row r="3708" spans="1:5">
      <c r="A3708" t="s">
        <v>113</v>
      </c>
      <c r="B3708" t="s">
        <v>107</v>
      </c>
      <c r="C3708" s="5">
        <v>45444</v>
      </c>
      <c r="D3708">
        <v>8</v>
      </c>
      <c r="E3708">
        <f>WEEKNUM(Append321[[#This Row],[Date]])</f>
        <v>22</v>
      </c>
    </row>
    <row r="3709" spans="1:5">
      <c r="A3709" t="s">
        <v>113</v>
      </c>
      <c r="B3709" t="s">
        <v>107</v>
      </c>
      <c r="C3709" s="5">
        <v>45445</v>
      </c>
      <c r="D3709">
        <v>6</v>
      </c>
      <c r="E3709">
        <f>WEEKNUM(Append321[[#This Row],[Date]])</f>
        <v>23</v>
      </c>
    </row>
    <row r="3710" spans="1:5">
      <c r="A3710" t="s">
        <v>113</v>
      </c>
      <c r="B3710" t="s">
        <v>107</v>
      </c>
      <c r="C3710" s="5">
        <v>45446</v>
      </c>
      <c r="D3710">
        <v>6</v>
      </c>
      <c r="E3710">
        <f>WEEKNUM(Append321[[#This Row],[Date]])</f>
        <v>23</v>
      </c>
    </row>
    <row r="3711" spans="1:5">
      <c r="A3711" t="s">
        <v>113</v>
      </c>
      <c r="B3711" t="s">
        <v>107</v>
      </c>
      <c r="C3711" s="5">
        <v>45447</v>
      </c>
      <c r="D3711">
        <v>5</v>
      </c>
      <c r="E3711">
        <f>WEEKNUM(Append321[[#This Row],[Date]])</f>
        <v>23</v>
      </c>
    </row>
    <row r="3712" spans="1:5">
      <c r="A3712" t="s">
        <v>113</v>
      </c>
      <c r="B3712" t="s">
        <v>107</v>
      </c>
      <c r="C3712" s="5">
        <v>45448</v>
      </c>
      <c r="D3712">
        <v>5</v>
      </c>
      <c r="E3712">
        <f>WEEKNUM(Append321[[#This Row],[Date]])</f>
        <v>23</v>
      </c>
    </row>
    <row r="3713" spans="1:5">
      <c r="A3713" t="s">
        <v>113</v>
      </c>
      <c r="B3713" t="s">
        <v>107</v>
      </c>
      <c r="C3713" s="5">
        <v>45449</v>
      </c>
      <c r="D3713">
        <v>7</v>
      </c>
      <c r="E3713">
        <f>WEEKNUM(Append321[[#This Row],[Date]])</f>
        <v>23</v>
      </c>
    </row>
    <row r="3714" spans="1:5">
      <c r="A3714" t="s">
        <v>113</v>
      </c>
      <c r="B3714" t="s">
        <v>107</v>
      </c>
      <c r="C3714" s="5">
        <v>45450</v>
      </c>
      <c r="D3714">
        <v>6</v>
      </c>
      <c r="E3714">
        <f>WEEKNUM(Append321[[#This Row],[Date]])</f>
        <v>23</v>
      </c>
    </row>
    <row r="3715" spans="1:5">
      <c r="A3715" t="s">
        <v>113</v>
      </c>
      <c r="B3715" t="s">
        <v>107</v>
      </c>
      <c r="C3715" s="5">
        <v>45464</v>
      </c>
      <c r="D3715">
        <v>8</v>
      </c>
      <c r="E3715">
        <f>WEEKNUM(Append321[[#This Row],[Date]])</f>
        <v>25</v>
      </c>
    </row>
    <row r="3716" spans="1:5">
      <c r="A3716" t="s">
        <v>113</v>
      </c>
      <c r="B3716" t="s">
        <v>107</v>
      </c>
      <c r="C3716" s="5">
        <v>45465</v>
      </c>
      <c r="D3716">
        <v>6</v>
      </c>
      <c r="E3716">
        <f>WEEKNUM(Append321[[#This Row],[Date]])</f>
        <v>25</v>
      </c>
    </row>
    <row r="3717" spans="1:5">
      <c r="A3717" t="s">
        <v>113</v>
      </c>
      <c r="B3717" t="s">
        <v>107</v>
      </c>
      <c r="C3717" s="5">
        <v>45466</v>
      </c>
      <c r="D3717">
        <v>6</v>
      </c>
      <c r="E3717">
        <f>WEEKNUM(Append321[[#This Row],[Date]])</f>
        <v>26</v>
      </c>
    </row>
    <row r="3718" spans="1:5">
      <c r="A3718" t="s">
        <v>113</v>
      </c>
      <c r="B3718" t="s">
        <v>107</v>
      </c>
      <c r="C3718" s="5">
        <v>45467</v>
      </c>
      <c r="D3718">
        <v>5</v>
      </c>
      <c r="E3718">
        <f>WEEKNUM(Append321[[#This Row],[Date]])</f>
        <v>26</v>
      </c>
    </row>
    <row r="3719" spans="1:5">
      <c r="A3719" t="s">
        <v>113</v>
      </c>
      <c r="B3719" t="s">
        <v>107</v>
      </c>
      <c r="C3719" s="5">
        <v>45468</v>
      </c>
      <c r="D3719">
        <v>5</v>
      </c>
      <c r="E3719">
        <f>WEEKNUM(Append321[[#This Row],[Date]])</f>
        <v>26</v>
      </c>
    </row>
    <row r="3720" spans="1:5">
      <c r="A3720" t="s">
        <v>113</v>
      </c>
      <c r="B3720" t="s">
        <v>107</v>
      </c>
      <c r="C3720" s="5">
        <v>45469</v>
      </c>
      <c r="D3720">
        <v>7</v>
      </c>
      <c r="E3720">
        <f>WEEKNUM(Append321[[#This Row],[Date]])</f>
        <v>26</v>
      </c>
    </row>
    <row r="3721" spans="1:5">
      <c r="A3721" t="s">
        <v>113</v>
      </c>
      <c r="B3721" t="s">
        <v>107</v>
      </c>
      <c r="C3721" s="5">
        <v>45470</v>
      </c>
      <c r="D3721">
        <v>6</v>
      </c>
      <c r="E3721">
        <f>WEEKNUM(Append321[[#This Row],[Date]])</f>
        <v>26</v>
      </c>
    </row>
    <row r="3722" spans="1:5">
      <c r="A3722" t="s">
        <v>113</v>
      </c>
      <c r="B3722" t="s">
        <v>107</v>
      </c>
      <c r="C3722" s="5">
        <v>45522</v>
      </c>
      <c r="D3722">
        <v>28</v>
      </c>
      <c r="E3722">
        <f>WEEKNUM(Append321[[#This Row],[Date]])</f>
        <v>34</v>
      </c>
    </row>
    <row r="3723" spans="1:5">
      <c r="A3723" t="s">
        <v>113</v>
      </c>
      <c r="B3723" t="s">
        <v>107</v>
      </c>
      <c r="C3723" s="5">
        <v>45523</v>
      </c>
      <c r="D3723">
        <v>26</v>
      </c>
      <c r="E3723">
        <f>WEEKNUM(Append321[[#This Row],[Date]])</f>
        <v>34</v>
      </c>
    </row>
    <row r="3724" spans="1:5">
      <c r="A3724" t="s">
        <v>113</v>
      </c>
      <c r="B3724" t="s">
        <v>107</v>
      </c>
      <c r="C3724" s="5">
        <v>45524</v>
      </c>
      <c r="D3724">
        <v>22</v>
      </c>
      <c r="E3724">
        <f>WEEKNUM(Append321[[#This Row],[Date]])</f>
        <v>34</v>
      </c>
    </row>
    <row r="3725" spans="1:5">
      <c r="A3725" t="s">
        <v>113</v>
      </c>
      <c r="B3725" t="s">
        <v>107</v>
      </c>
      <c r="C3725" s="5">
        <v>45525</v>
      </c>
      <c r="D3725">
        <v>19</v>
      </c>
      <c r="E3725">
        <f>WEEKNUM(Append321[[#This Row],[Date]])</f>
        <v>34</v>
      </c>
    </row>
    <row r="3726" spans="1:5">
      <c r="A3726" t="s">
        <v>113</v>
      </c>
      <c r="B3726" t="s">
        <v>107</v>
      </c>
      <c r="C3726" s="5">
        <v>45526</v>
      </c>
      <c r="D3726">
        <v>30</v>
      </c>
      <c r="E3726">
        <f>WEEKNUM(Append321[[#This Row],[Date]])</f>
        <v>34</v>
      </c>
    </row>
    <row r="3727" spans="1:5">
      <c r="A3727" t="s">
        <v>113</v>
      </c>
      <c r="B3727" t="s">
        <v>107</v>
      </c>
      <c r="C3727" s="5">
        <v>45527</v>
      </c>
      <c r="D3727">
        <v>25</v>
      </c>
      <c r="E3727">
        <f>WEEKNUM(Append321[[#This Row],[Date]])</f>
        <v>34</v>
      </c>
    </row>
    <row r="3728" spans="1:5">
      <c r="A3728" t="s">
        <v>113</v>
      </c>
      <c r="B3728" t="s">
        <v>107</v>
      </c>
      <c r="C3728" s="5">
        <v>45528</v>
      </c>
      <c r="D3728">
        <v>28</v>
      </c>
      <c r="E3728">
        <f>WEEKNUM(Append321[[#This Row],[Date]])</f>
        <v>34</v>
      </c>
    </row>
    <row r="3729" spans="1:5">
      <c r="A3729" t="s">
        <v>113</v>
      </c>
      <c r="B3729" t="s">
        <v>107</v>
      </c>
      <c r="C3729" s="5">
        <v>45529</v>
      </c>
      <c r="D3729">
        <v>30</v>
      </c>
      <c r="E3729">
        <f>WEEKNUM(Append321[[#This Row],[Date]])</f>
        <v>35</v>
      </c>
    </row>
    <row r="3730" spans="1:5">
      <c r="A3730" t="s">
        <v>113</v>
      </c>
      <c r="B3730" t="s">
        <v>107</v>
      </c>
      <c r="C3730" s="5">
        <v>45530</v>
      </c>
      <c r="D3730">
        <v>28</v>
      </c>
      <c r="E3730">
        <f>WEEKNUM(Append321[[#This Row],[Date]])</f>
        <v>35</v>
      </c>
    </row>
    <row r="3731" spans="1:5">
      <c r="A3731" t="s">
        <v>113</v>
      </c>
      <c r="B3731" t="s">
        <v>108</v>
      </c>
      <c r="C3731" s="5">
        <v>45522</v>
      </c>
      <c r="D3731">
        <v>52</v>
      </c>
      <c r="E3731">
        <f>WEEKNUM(Append321[[#This Row],[Date]])</f>
        <v>34</v>
      </c>
    </row>
    <row r="3732" spans="1:5">
      <c r="A3732" t="s">
        <v>113</v>
      </c>
      <c r="B3732" t="s">
        <v>108</v>
      </c>
      <c r="C3732" s="5">
        <v>45523</v>
      </c>
      <c r="D3732">
        <v>49</v>
      </c>
      <c r="E3732">
        <f>WEEKNUM(Append321[[#This Row],[Date]])</f>
        <v>34</v>
      </c>
    </row>
    <row r="3733" spans="1:5">
      <c r="A3733" t="s">
        <v>113</v>
      </c>
      <c r="B3733" t="s">
        <v>108</v>
      </c>
      <c r="C3733" s="5">
        <v>45524</v>
      </c>
      <c r="D3733">
        <v>61</v>
      </c>
      <c r="E3733">
        <f>WEEKNUM(Append321[[#This Row],[Date]])</f>
        <v>34</v>
      </c>
    </row>
    <row r="3734" spans="1:5">
      <c r="A3734" t="s">
        <v>113</v>
      </c>
      <c r="B3734" t="s">
        <v>108</v>
      </c>
      <c r="C3734" s="5">
        <v>45525</v>
      </c>
      <c r="D3734">
        <v>63</v>
      </c>
      <c r="E3734">
        <f>WEEKNUM(Append321[[#This Row],[Date]])</f>
        <v>34</v>
      </c>
    </row>
    <row r="3735" spans="1:5">
      <c r="A3735" t="s">
        <v>113</v>
      </c>
      <c r="B3735" t="s">
        <v>108</v>
      </c>
      <c r="C3735" s="5">
        <v>45526</v>
      </c>
      <c r="D3735">
        <v>60</v>
      </c>
      <c r="E3735">
        <f>WEEKNUM(Append321[[#This Row],[Date]])</f>
        <v>34</v>
      </c>
    </row>
    <row r="3736" spans="1:5">
      <c r="A3736" t="s">
        <v>113</v>
      </c>
      <c r="B3736" t="s">
        <v>108</v>
      </c>
      <c r="C3736" s="5">
        <v>45527</v>
      </c>
      <c r="D3736">
        <v>58</v>
      </c>
      <c r="E3736">
        <f>WEEKNUM(Append321[[#This Row],[Date]])</f>
        <v>34</v>
      </c>
    </row>
    <row r="3737" spans="1:5">
      <c r="A3737" t="s">
        <v>113</v>
      </c>
      <c r="B3737" t="s">
        <v>108</v>
      </c>
      <c r="C3737" s="5">
        <v>45528</v>
      </c>
      <c r="D3737">
        <v>38</v>
      </c>
      <c r="E3737">
        <f>WEEKNUM(Append321[[#This Row],[Date]])</f>
        <v>34</v>
      </c>
    </row>
    <row r="3738" spans="1:5">
      <c r="A3738" t="s">
        <v>113</v>
      </c>
      <c r="B3738" t="s">
        <v>108</v>
      </c>
      <c r="C3738" s="5">
        <v>45529</v>
      </c>
      <c r="D3738">
        <v>40</v>
      </c>
      <c r="E3738">
        <f>WEEKNUM(Append321[[#This Row],[Date]])</f>
        <v>35</v>
      </c>
    </row>
    <row r="3739" spans="1:5">
      <c r="A3739" t="s">
        <v>113</v>
      </c>
      <c r="B3739" t="s">
        <v>108</v>
      </c>
      <c r="C3739" s="5">
        <v>45530</v>
      </c>
      <c r="D3739">
        <v>43</v>
      </c>
      <c r="E3739">
        <f>WEEKNUM(Append321[[#This Row],[Date]])</f>
        <v>35</v>
      </c>
    </row>
    <row r="3740" spans="1:5">
      <c r="A3740" t="s">
        <v>113</v>
      </c>
      <c r="B3740" t="s">
        <v>109</v>
      </c>
      <c r="C3740" s="5">
        <v>45522</v>
      </c>
      <c r="D3740">
        <v>28</v>
      </c>
      <c r="E3740">
        <f>WEEKNUM(Append321[[#This Row],[Date]])</f>
        <v>34</v>
      </c>
    </row>
    <row r="3741" spans="1:5">
      <c r="A3741" t="s">
        <v>113</v>
      </c>
      <c r="B3741" t="s">
        <v>109</v>
      </c>
      <c r="C3741" s="5">
        <v>45523</v>
      </c>
      <c r="D3741">
        <v>26</v>
      </c>
      <c r="E3741">
        <f>WEEKNUM(Append321[[#This Row],[Date]])</f>
        <v>34</v>
      </c>
    </row>
    <row r="3742" spans="1:5">
      <c r="A3742" t="s">
        <v>113</v>
      </c>
      <c r="B3742" t="s">
        <v>109</v>
      </c>
      <c r="C3742" s="5">
        <v>45524</v>
      </c>
      <c r="D3742">
        <v>22</v>
      </c>
      <c r="E3742">
        <f>WEEKNUM(Append321[[#This Row],[Date]])</f>
        <v>34</v>
      </c>
    </row>
    <row r="3743" spans="1:5">
      <c r="A3743" t="s">
        <v>113</v>
      </c>
      <c r="B3743" t="s">
        <v>109</v>
      </c>
      <c r="C3743" s="5">
        <v>45525</v>
      </c>
      <c r="D3743">
        <v>19</v>
      </c>
      <c r="E3743">
        <f>WEEKNUM(Append321[[#This Row],[Date]])</f>
        <v>34</v>
      </c>
    </row>
    <row r="3744" spans="1:5">
      <c r="A3744" t="s">
        <v>113</v>
      </c>
      <c r="B3744" t="s">
        <v>109</v>
      </c>
      <c r="C3744" s="5">
        <v>45526</v>
      </c>
      <c r="D3744">
        <v>30</v>
      </c>
      <c r="E3744">
        <f>WEEKNUM(Append321[[#This Row],[Date]])</f>
        <v>34</v>
      </c>
    </row>
    <row r="3745" spans="1:5">
      <c r="A3745" t="s">
        <v>113</v>
      </c>
      <c r="B3745" t="s">
        <v>109</v>
      </c>
      <c r="C3745" s="5">
        <v>45527</v>
      </c>
      <c r="D3745">
        <v>25</v>
      </c>
      <c r="E3745">
        <f>WEEKNUM(Append321[[#This Row],[Date]])</f>
        <v>34</v>
      </c>
    </row>
    <row r="3746" spans="1:5">
      <c r="A3746" t="s">
        <v>113</v>
      </c>
      <c r="B3746" t="s">
        <v>109</v>
      </c>
      <c r="C3746" s="5">
        <v>45528</v>
      </c>
      <c r="D3746">
        <v>28</v>
      </c>
      <c r="E3746">
        <f>WEEKNUM(Append321[[#This Row],[Date]])</f>
        <v>34</v>
      </c>
    </row>
    <row r="3747" spans="1:5">
      <c r="A3747" t="s">
        <v>113</v>
      </c>
      <c r="B3747" t="s">
        <v>109</v>
      </c>
      <c r="C3747" s="5">
        <v>45529</v>
      </c>
      <c r="D3747">
        <v>30</v>
      </c>
      <c r="E3747">
        <f>WEEKNUM(Append321[[#This Row],[Date]])</f>
        <v>35</v>
      </c>
    </row>
    <row r="3748" spans="1:5">
      <c r="A3748" t="s">
        <v>113</v>
      </c>
      <c r="B3748" t="s">
        <v>109</v>
      </c>
      <c r="C3748" s="5">
        <v>45530</v>
      </c>
      <c r="D3748">
        <v>28</v>
      </c>
      <c r="E3748">
        <f>WEEKNUM(Append321[[#This Row],[Date]])</f>
        <v>35</v>
      </c>
    </row>
    <row r="3749" spans="1:5">
      <c r="A3749" t="s">
        <v>114</v>
      </c>
      <c r="B3749" t="s">
        <v>94</v>
      </c>
      <c r="C3749" s="5">
        <v>45459</v>
      </c>
      <c r="D3749">
        <v>240</v>
      </c>
      <c r="E3749">
        <f>WEEKNUM(Append321[[#This Row],[Date]])</f>
        <v>25</v>
      </c>
    </row>
    <row r="3750" spans="1:5">
      <c r="A3750" t="s">
        <v>114</v>
      </c>
      <c r="B3750" t="s">
        <v>94</v>
      </c>
      <c r="C3750" s="5">
        <v>45460</v>
      </c>
      <c r="D3750">
        <v>285</v>
      </c>
      <c r="E3750">
        <f>WEEKNUM(Append321[[#This Row],[Date]])</f>
        <v>25</v>
      </c>
    </row>
    <row r="3751" spans="1:5">
      <c r="A3751" t="s">
        <v>114</v>
      </c>
      <c r="B3751" t="s">
        <v>94</v>
      </c>
      <c r="C3751" s="5">
        <v>45461</v>
      </c>
      <c r="D3751">
        <v>205</v>
      </c>
      <c r="E3751">
        <f>WEEKNUM(Append321[[#This Row],[Date]])</f>
        <v>25</v>
      </c>
    </row>
    <row r="3752" spans="1:5">
      <c r="A3752" t="s">
        <v>114</v>
      </c>
      <c r="B3752" t="s">
        <v>94</v>
      </c>
      <c r="C3752" s="5">
        <v>45462</v>
      </c>
      <c r="D3752">
        <v>257</v>
      </c>
      <c r="E3752">
        <f>WEEKNUM(Append321[[#This Row],[Date]])</f>
        <v>25</v>
      </c>
    </row>
    <row r="3753" spans="1:5">
      <c r="A3753" t="s">
        <v>114</v>
      </c>
      <c r="B3753" t="s">
        <v>94</v>
      </c>
      <c r="C3753" s="5">
        <v>45463</v>
      </c>
      <c r="D3753">
        <v>218</v>
      </c>
      <c r="E3753">
        <f>WEEKNUM(Append321[[#This Row],[Date]])</f>
        <v>25</v>
      </c>
    </row>
    <row r="3754" spans="1:5">
      <c r="A3754" t="s">
        <v>114</v>
      </c>
      <c r="B3754" t="s">
        <v>94</v>
      </c>
      <c r="C3754" s="5">
        <v>45464</v>
      </c>
      <c r="D3754">
        <v>188</v>
      </c>
      <c r="E3754">
        <f>WEEKNUM(Append321[[#This Row],[Date]])</f>
        <v>25</v>
      </c>
    </row>
    <row r="3755" spans="1:5">
      <c r="A3755" t="s">
        <v>114</v>
      </c>
      <c r="B3755" t="s">
        <v>94</v>
      </c>
      <c r="C3755" s="5">
        <v>45465</v>
      </c>
      <c r="D3755">
        <v>247</v>
      </c>
      <c r="E3755">
        <f>WEEKNUM(Append321[[#This Row],[Date]])</f>
        <v>25</v>
      </c>
    </row>
    <row r="3756" spans="1:5">
      <c r="A3756" t="s">
        <v>114</v>
      </c>
      <c r="B3756" t="s">
        <v>94</v>
      </c>
      <c r="C3756" s="5">
        <v>45480</v>
      </c>
      <c r="D3756">
        <v>240</v>
      </c>
      <c r="E3756">
        <f>WEEKNUM(Append321[[#This Row],[Date]])</f>
        <v>28</v>
      </c>
    </row>
    <row r="3757" spans="1:5">
      <c r="A3757" t="s">
        <v>114</v>
      </c>
      <c r="B3757" t="s">
        <v>94</v>
      </c>
      <c r="C3757" s="5">
        <v>45481</v>
      </c>
      <c r="D3757">
        <v>285</v>
      </c>
      <c r="E3757">
        <f>WEEKNUM(Append321[[#This Row],[Date]])</f>
        <v>28</v>
      </c>
    </row>
    <row r="3758" spans="1:5">
      <c r="A3758" t="s">
        <v>114</v>
      </c>
      <c r="B3758" t="s">
        <v>94</v>
      </c>
      <c r="C3758" s="5">
        <v>45482</v>
      </c>
      <c r="D3758">
        <v>205</v>
      </c>
      <c r="E3758">
        <f>WEEKNUM(Append321[[#This Row],[Date]])</f>
        <v>28</v>
      </c>
    </row>
    <row r="3759" spans="1:5">
      <c r="A3759" t="s">
        <v>114</v>
      </c>
      <c r="B3759" t="s">
        <v>94</v>
      </c>
      <c r="C3759" s="5">
        <v>45483</v>
      </c>
      <c r="D3759">
        <v>257</v>
      </c>
      <c r="E3759">
        <f>WEEKNUM(Append321[[#This Row],[Date]])</f>
        <v>28</v>
      </c>
    </row>
    <row r="3760" spans="1:5">
      <c r="A3760" t="s">
        <v>114</v>
      </c>
      <c r="B3760" t="s">
        <v>94</v>
      </c>
      <c r="C3760" s="5">
        <v>45484</v>
      </c>
      <c r="D3760">
        <v>218</v>
      </c>
      <c r="E3760">
        <f>WEEKNUM(Append321[[#This Row],[Date]])</f>
        <v>28</v>
      </c>
    </row>
    <row r="3761" spans="1:5">
      <c r="A3761" t="s">
        <v>114</v>
      </c>
      <c r="B3761" t="s">
        <v>94</v>
      </c>
      <c r="C3761" s="5">
        <v>45485</v>
      </c>
      <c r="D3761">
        <v>188</v>
      </c>
      <c r="E3761">
        <f>WEEKNUM(Append321[[#This Row],[Date]])</f>
        <v>28</v>
      </c>
    </row>
    <row r="3762" spans="1:5">
      <c r="A3762" t="s">
        <v>114</v>
      </c>
      <c r="B3762" t="s">
        <v>94</v>
      </c>
      <c r="C3762" s="5">
        <v>45486</v>
      </c>
      <c r="D3762">
        <v>247</v>
      </c>
      <c r="E3762">
        <f>WEEKNUM(Append321[[#This Row],[Date]])</f>
        <v>28</v>
      </c>
    </row>
    <row r="3763" spans="1:5">
      <c r="A3763" t="s">
        <v>114</v>
      </c>
      <c r="B3763" t="s">
        <v>94</v>
      </c>
      <c r="C3763" s="5">
        <v>45495</v>
      </c>
      <c r="D3763">
        <v>240</v>
      </c>
      <c r="E3763">
        <f>WEEKNUM(Append321[[#This Row],[Date]])</f>
        <v>30</v>
      </c>
    </row>
    <row r="3764" spans="1:5">
      <c r="A3764" t="s">
        <v>114</v>
      </c>
      <c r="B3764" t="s">
        <v>94</v>
      </c>
      <c r="C3764" s="5">
        <v>45496</v>
      </c>
      <c r="D3764">
        <v>285</v>
      </c>
      <c r="E3764">
        <f>WEEKNUM(Append321[[#This Row],[Date]])</f>
        <v>30</v>
      </c>
    </row>
    <row r="3765" spans="1:5">
      <c r="A3765" t="s">
        <v>114</v>
      </c>
      <c r="B3765" t="s">
        <v>94</v>
      </c>
      <c r="C3765" s="5">
        <v>45497</v>
      </c>
      <c r="D3765">
        <v>205</v>
      </c>
      <c r="E3765">
        <f>WEEKNUM(Append321[[#This Row],[Date]])</f>
        <v>30</v>
      </c>
    </row>
    <row r="3766" spans="1:5">
      <c r="A3766" t="s">
        <v>114</v>
      </c>
      <c r="B3766" t="s">
        <v>94</v>
      </c>
      <c r="C3766" s="5">
        <v>45498</v>
      </c>
      <c r="D3766">
        <v>257</v>
      </c>
      <c r="E3766">
        <f>WEEKNUM(Append321[[#This Row],[Date]])</f>
        <v>30</v>
      </c>
    </row>
    <row r="3767" spans="1:5">
      <c r="A3767" t="s">
        <v>114</v>
      </c>
      <c r="B3767" t="s">
        <v>94</v>
      </c>
      <c r="C3767" s="5">
        <v>45499</v>
      </c>
      <c r="D3767">
        <v>218</v>
      </c>
      <c r="E3767">
        <f>WEEKNUM(Append321[[#This Row],[Date]])</f>
        <v>30</v>
      </c>
    </row>
    <row r="3768" spans="1:5">
      <c r="A3768" t="s">
        <v>114</v>
      </c>
      <c r="B3768" t="s">
        <v>94</v>
      </c>
      <c r="C3768" s="5">
        <v>45500</v>
      </c>
      <c r="D3768">
        <v>188</v>
      </c>
      <c r="E3768">
        <f>WEEKNUM(Append321[[#This Row],[Date]])</f>
        <v>30</v>
      </c>
    </row>
    <row r="3769" spans="1:5">
      <c r="A3769" t="s">
        <v>114</v>
      </c>
      <c r="B3769" t="s">
        <v>94</v>
      </c>
      <c r="C3769" s="5">
        <v>45501</v>
      </c>
      <c r="D3769">
        <v>247</v>
      </c>
      <c r="E3769">
        <f>WEEKNUM(Append321[[#This Row],[Date]])</f>
        <v>31</v>
      </c>
    </row>
    <row r="3770" spans="1:5">
      <c r="A3770" t="s">
        <v>114</v>
      </c>
      <c r="B3770" t="s">
        <v>94</v>
      </c>
      <c r="C3770" s="5">
        <v>45527</v>
      </c>
      <c r="D3770">
        <v>1</v>
      </c>
      <c r="E3770">
        <f>WEEKNUM(Append321[[#This Row],[Date]])</f>
        <v>34</v>
      </c>
    </row>
    <row r="3771" spans="1:5">
      <c r="A3771" t="s">
        <v>114</v>
      </c>
      <c r="B3771" t="s">
        <v>94</v>
      </c>
      <c r="C3771" s="5">
        <v>45529</v>
      </c>
      <c r="D3771">
        <v>1</v>
      </c>
      <c r="E3771">
        <f>WEEKNUM(Append321[[#This Row],[Date]])</f>
        <v>35</v>
      </c>
    </row>
    <row r="3772" spans="1:5">
      <c r="A3772" t="s">
        <v>114</v>
      </c>
      <c r="B3772" t="s">
        <v>94</v>
      </c>
      <c r="C3772" s="5">
        <v>45530</v>
      </c>
      <c r="D3772">
        <v>2</v>
      </c>
      <c r="E3772">
        <f>WEEKNUM(Append321[[#This Row],[Date]])</f>
        <v>35</v>
      </c>
    </row>
    <row r="3773" spans="1:5">
      <c r="A3773" t="s">
        <v>114</v>
      </c>
      <c r="B3773" t="s">
        <v>94</v>
      </c>
      <c r="C3773" s="5">
        <v>45531</v>
      </c>
      <c r="D3773">
        <v>6</v>
      </c>
      <c r="E3773">
        <f>WEEKNUM(Append321[[#This Row],[Date]])</f>
        <v>35</v>
      </c>
    </row>
    <row r="3774" spans="1:5">
      <c r="A3774" t="s">
        <v>114</v>
      </c>
      <c r="B3774" t="s">
        <v>94</v>
      </c>
      <c r="C3774" s="5">
        <v>45532</v>
      </c>
      <c r="D3774">
        <v>6</v>
      </c>
      <c r="E3774">
        <f>WEEKNUM(Append321[[#This Row],[Date]])</f>
        <v>35</v>
      </c>
    </row>
    <row r="3775" spans="1:5">
      <c r="A3775" t="s">
        <v>114</v>
      </c>
      <c r="B3775" t="s">
        <v>94</v>
      </c>
      <c r="C3775" s="5">
        <v>45533</v>
      </c>
      <c r="D3775">
        <v>3</v>
      </c>
      <c r="E3775">
        <f>WEEKNUM(Append321[[#This Row],[Date]])</f>
        <v>35</v>
      </c>
    </row>
    <row r="3776" spans="1:5">
      <c r="A3776" t="s">
        <v>114</v>
      </c>
      <c r="B3776" t="s">
        <v>94</v>
      </c>
      <c r="C3776" s="5">
        <v>45534</v>
      </c>
      <c r="D3776">
        <v>15</v>
      </c>
      <c r="E3776">
        <f>WEEKNUM(Append321[[#This Row],[Date]])</f>
        <v>35</v>
      </c>
    </row>
    <row r="3777" spans="1:5">
      <c r="A3777" t="s">
        <v>114</v>
      </c>
      <c r="B3777" t="s">
        <v>94</v>
      </c>
      <c r="C3777" s="5">
        <v>45535</v>
      </c>
      <c r="D3777">
        <v>6</v>
      </c>
      <c r="E3777">
        <f>WEEKNUM(Append321[[#This Row],[Date]])</f>
        <v>35</v>
      </c>
    </row>
    <row r="3778" spans="1:5">
      <c r="A3778" t="s">
        <v>114</v>
      </c>
      <c r="B3778" t="s">
        <v>95</v>
      </c>
      <c r="C3778" s="5">
        <v>45459</v>
      </c>
      <c r="D3778">
        <v>282</v>
      </c>
      <c r="E3778">
        <f>WEEKNUM(Append321[[#This Row],[Date]])</f>
        <v>25</v>
      </c>
    </row>
    <row r="3779" spans="1:5">
      <c r="A3779" t="s">
        <v>114</v>
      </c>
      <c r="B3779" t="s">
        <v>95</v>
      </c>
      <c r="C3779" s="5">
        <v>45460</v>
      </c>
      <c r="D3779">
        <v>286</v>
      </c>
      <c r="E3779">
        <f>WEEKNUM(Append321[[#This Row],[Date]])</f>
        <v>25</v>
      </c>
    </row>
    <row r="3780" spans="1:5">
      <c r="A3780" t="s">
        <v>114</v>
      </c>
      <c r="B3780" t="s">
        <v>95</v>
      </c>
      <c r="C3780" s="5">
        <v>45461</v>
      </c>
      <c r="D3780">
        <v>276</v>
      </c>
      <c r="E3780">
        <f>WEEKNUM(Append321[[#This Row],[Date]])</f>
        <v>25</v>
      </c>
    </row>
    <row r="3781" spans="1:5">
      <c r="A3781" t="s">
        <v>114</v>
      </c>
      <c r="B3781" t="s">
        <v>95</v>
      </c>
      <c r="C3781" s="5">
        <v>45462</v>
      </c>
      <c r="D3781">
        <v>279</v>
      </c>
      <c r="E3781">
        <f>WEEKNUM(Append321[[#This Row],[Date]])</f>
        <v>25</v>
      </c>
    </row>
    <row r="3782" spans="1:5">
      <c r="A3782" t="s">
        <v>114</v>
      </c>
      <c r="B3782" t="s">
        <v>95</v>
      </c>
      <c r="C3782" s="5">
        <v>45463</v>
      </c>
      <c r="D3782">
        <v>278</v>
      </c>
      <c r="E3782">
        <f>WEEKNUM(Append321[[#This Row],[Date]])</f>
        <v>25</v>
      </c>
    </row>
    <row r="3783" spans="1:5">
      <c r="A3783" t="s">
        <v>114</v>
      </c>
      <c r="B3783" t="s">
        <v>95</v>
      </c>
      <c r="C3783" s="5">
        <v>45464</v>
      </c>
      <c r="D3783">
        <v>260</v>
      </c>
      <c r="E3783">
        <f>WEEKNUM(Append321[[#This Row],[Date]])</f>
        <v>25</v>
      </c>
    </row>
    <row r="3784" spans="1:5">
      <c r="A3784" t="s">
        <v>114</v>
      </c>
      <c r="B3784" t="s">
        <v>95</v>
      </c>
      <c r="C3784" s="5">
        <v>45465</v>
      </c>
      <c r="D3784">
        <v>300</v>
      </c>
      <c r="E3784">
        <f>WEEKNUM(Append321[[#This Row],[Date]])</f>
        <v>25</v>
      </c>
    </row>
    <row r="3785" spans="1:5">
      <c r="A3785" t="s">
        <v>114</v>
      </c>
      <c r="B3785" t="s">
        <v>95</v>
      </c>
      <c r="C3785" s="5">
        <v>45480</v>
      </c>
      <c r="D3785">
        <v>282</v>
      </c>
      <c r="E3785">
        <f>WEEKNUM(Append321[[#This Row],[Date]])</f>
        <v>28</v>
      </c>
    </row>
    <row r="3786" spans="1:5">
      <c r="A3786" t="s">
        <v>114</v>
      </c>
      <c r="B3786" t="s">
        <v>95</v>
      </c>
      <c r="C3786" s="5">
        <v>45481</v>
      </c>
      <c r="D3786">
        <v>286</v>
      </c>
      <c r="E3786">
        <f>WEEKNUM(Append321[[#This Row],[Date]])</f>
        <v>28</v>
      </c>
    </row>
    <row r="3787" spans="1:5">
      <c r="A3787" t="s">
        <v>114</v>
      </c>
      <c r="B3787" t="s">
        <v>95</v>
      </c>
      <c r="C3787" s="5">
        <v>45482</v>
      </c>
      <c r="D3787">
        <v>276</v>
      </c>
      <c r="E3787">
        <f>WEEKNUM(Append321[[#This Row],[Date]])</f>
        <v>28</v>
      </c>
    </row>
    <row r="3788" spans="1:5">
      <c r="A3788" t="s">
        <v>114</v>
      </c>
      <c r="B3788" t="s">
        <v>95</v>
      </c>
      <c r="C3788" s="5">
        <v>45483</v>
      </c>
      <c r="D3788">
        <v>279</v>
      </c>
      <c r="E3788">
        <f>WEEKNUM(Append321[[#This Row],[Date]])</f>
        <v>28</v>
      </c>
    </row>
    <row r="3789" spans="1:5">
      <c r="A3789" t="s">
        <v>114</v>
      </c>
      <c r="B3789" t="s">
        <v>95</v>
      </c>
      <c r="C3789" s="5">
        <v>45484</v>
      </c>
      <c r="D3789">
        <v>278</v>
      </c>
      <c r="E3789">
        <f>WEEKNUM(Append321[[#This Row],[Date]])</f>
        <v>28</v>
      </c>
    </row>
    <row r="3790" spans="1:5">
      <c r="A3790" t="s">
        <v>114</v>
      </c>
      <c r="B3790" t="s">
        <v>95</v>
      </c>
      <c r="C3790" s="5">
        <v>45485</v>
      </c>
      <c r="D3790">
        <v>260</v>
      </c>
      <c r="E3790">
        <f>WEEKNUM(Append321[[#This Row],[Date]])</f>
        <v>28</v>
      </c>
    </row>
    <row r="3791" spans="1:5">
      <c r="A3791" t="s">
        <v>114</v>
      </c>
      <c r="B3791" t="s">
        <v>95</v>
      </c>
      <c r="C3791" s="5">
        <v>45486</v>
      </c>
      <c r="D3791">
        <v>300</v>
      </c>
      <c r="E3791">
        <f>WEEKNUM(Append321[[#This Row],[Date]])</f>
        <v>28</v>
      </c>
    </row>
    <row r="3792" spans="1:5">
      <c r="A3792" t="s">
        <v>114</v>
      </c>
      <c r="B3792" t="s">
        <v>95</v>
      </c>
      <c r="C3792" s="5">
        <v>45495</v>
      </c>
      <c r="D3792">
        <v>282</v>
      </c>
      <c r="E3792">
        <f>WEEKNUM(Append321[[#This Row],[Date]])</f>
        <v>30</v>
      </c>
    </row>
    <row r="3793" spans="1:5">
      <c r="A3793" t="s">
        <v>114</v>
      </c>
      <c r="B3793" t="s">
        <v>95</v>
      </c>
      <c r="C3793" s="5">
        <v>45496</v>
      </c>
      <c r="D3793">
        <v>286</v>
      </c>
      <c r="E3793">
        <f>WEEKNUM(Append321[[#This Row],[Date]])</f>
        <v>30</v>
      </c>
    </row>
    <row r="3794" spans="1:5">
      <c r="A3794" t="s">
        <v>114</v>
      </c>
      <c r="B3794" t="s">
        <v>95</v>
      </c>
      <c r="C3794" s="5">
        <v>45497</v>
      </c>
      <c r="D3794">
        <v>276</v>
      </c>
      <c r="E3794">
        <f>WEEKNUM(Append321[[#This Row],[Date]])</f>
        <v>30</v>
      </c>
    </row>
    <row r="3795" spans="1:5">
      <c r="A3795" t="s">
        <v>114</v>
      </c>
      <c r="B3795" t="s">
        <v>95</v>
      </c>
      <c r="C3795" s="5">
        <v>45498</v>
      </c>
      <c r="D3795">
        <v>279</v>
      </c>
      <c r="E3795">
        <f>WEEKNUM(Append321[[#This Row],[Date]])</f>
        <v>30</v>
      </c>
    </row>
    <row r="3796" spans="1:5">
      <c r="A3796" t="s">
        <v>114</v>
      </c>
      <c r="B3796" t="s">
        <v>95</v>
      </c>
      <c r="C3796" s="5">
        <v>45499</v>
      </c>
      <c r="D3796">
        <v>278</v>
      </c>
      <c r="E3796">
        <f>WEEKNUM(Append321[[#This Row],[Date]])</f>
        <v>30</v>
      </c>
    </row>
    <row r="3797" spans="1:5">
      <c r="A3797" t="s">
        <v>114</v>
      </c>
      <c r="B3797" t="s">
        <v>95</v>
      </c>
      <c r="C3797" s="5">
        <v>45500</v>
      </c>
      <c r="D3797">
        <v>260</v>
      </c>
      <c r="E3797">
        <f>WEEKNUM(Append321[[#This Row],[Date]])</f>
        <v>30</v>
      </c>
    </row>
    <row r="3798" spans="1:5">
      <c r="A3798" t="s">
        <v>114</v>
      </c>
      <c r="B3798" t="s">
        <v>95</v>
      </c>
      <c r="C3798" s="5">
        <v>45501</v>
      </c>
      <c r="D3798">
        <v>300</v>
      </c>
      <c r="E3798">
        <f>WEEKNUM(Append321[[#This Row],[Date]])</f>
        <v>31</v>
      </c>
    </row>
    <row r="3799" spans="1:5">
      <c r="A3799" t="s">
        <v>114</v>
      </c>
      <c r="B3799" t="s">
        <v>95</v>
      </c>
      <c r="C3799" s="5">
        <v>45527</v>
      </c>
      <c r="D3799">
        <v>79</v>
      </c>
      <c r="E3799">
        <f>WEEKNUM(Append321[[#This Row],[Date]])</f>
        <v>34</v>
      </c>
    </row>
    <row r="3800" spans="1:5">
      <c r="A3800" t="s">
        <v>114</v>
      </c>
      <c r="B3800" t="s">
        <v>95</v>
      </c>
      <c r="C3800" s="5">
        <v>45528</v>
      </c>
      <c r="D3800">
        <v>93</v>
      </c>
      <c r="E3800">
        <f>WEEKNUM(Append321[[#This Row],[Date]])</f>
        <v>34</v>
      </c>
    </row>
    <row r="3801" spans="1:5">
      <c r="A3801" t="s">
        <v>114</v>
      </c>
      <c r="B3801" t="s">
        <v>95</v>
      </c>
      <c r="C3801" s="5">
        <v>45529</v>
      </c>
      <c r="D3801">
        <v>89</v>
      </c>
      <c r="E3801">
        <f>WEEKNUM(Append321[[#This Row],[Date]])</f>
        <v>35</v>
      </c>
    </row>
    <row r="3802" spans="1:5">
      <c r="A3802" t="s">
        <v>114</v>
      </c>
      <c r="B3802" t="s">
        <v>95</v>
      </c>
      <c r="C3802" s="5">
        <v>45530</v>
      </c>
      <c r="D3802">
        <v>103</v>
      </c>
      <c r="E3802">
        <f>WEEKNUM(Append321[[#This Row],[Date]])</f>
        <v>35</v>
      </c>
    </row>
    <row r="3803" spans="1:5">
      <c r="A3803" t="s">
        <v>114</v>
      </c>
      <c r="B3803" t="s">
        <v>95</v>
      </c>
      <c r="C3803" s="5">
        <v>45531</v>
      </c>
      <c r="D3803">
        <v>82</v>
      </c>
      <c r="E3803">
        <f>WEEKNUM(Append321[[#This Row],[Date]])</f>
        <v>35</v>
      </c>
    </row>
    <row r="3804" spans="1:5">
      <c r="A3804" t="s">
        <v>114</v>
      </c>
      <c r="B3804" t="s">
        <v>95</v>
      </c>
      <c r="C3804" s="5">
        <v>45532</v>
      </c>
      <c r="D3804">
        <v>114</v>
      </c>
      <c r="E3804">
        <f>WEEKNUM(Append321[[#This Row],[Date]])</f>
        <v>35</v>
      </c>
    </row>
    <row r="3805" spans="1:5">
      <c r="A3805" t="s">
        <v>114</v>
      </c>
      <c r="B3805" t="s">
        <v>95</v>
      </c>
      <c r="C3805" s="5">
        <v>45533</v>
      </c>
      <c r="D3805">
        <v>97</v>
      </c>
      <c r="E3805">
        <f>WEEKNUM(Append321[[#This Row],[Date]])</f>
        <v>35</v>
      </c>
    </row>
    <row r="3806" spans="1:5">
      <c r="A3806" t="s">
        <v>114</v>
      </c>
      <c r="B3806" t="s">
        <v>95</v>
      </c>
      <c r="C3806" s="5">
        <v>45534</v>
      </c>
      <c r="D3806">
        <v>98</v>
      </c>
      <c r="E3806">
        <f>WEEKNUM(Append321[[#This Row],[Date]])</f>
        <v>35</v>
      </c>
    </row>
    <row r="3807" spans="1:5">
      <c r="A3807" t="s">
        <v>114</v>
      </c>
      <c r="B3807" t="s">
        <v>95</v>
      </c>
      <c r="C3807" s="5">
        <v>45535</v>
      </c>
      <c r="D3807">
        <v>109</v>
      </c>
      <c r="E3807">
        <f>WEEKNUM(Append321[[#This Row],[Date]])</f>
        <v>35</v>
      </c>
    </row>
    <row r="3808" spans="1:5">
      <c r="A3808" t="s">
        <v>114</v>
      </c>
      <c r="B3808" t="s">
        <v>96</v>
      </c>
      <c r="C3808" s="5">
        <v>45459</v>
      </c>
      <c r="D3808">
        <v>544</v>
      </c>
      <c r="E3808">
        <f>WEEKNUM(Append321[[#This Row],[Date]])</f>
        <v>25</v>
      </c>
    </row>
    <row r="3809" spans="1:5">
      <c r="A3809" t="s">
        <v>114</v>
      </c>
      <c r="B3809" t="s">
        <v>96</v>
      </c>
      <c r="C3809" s="5">
        <v>45460</v>
      </c>
      <c r="D3809">
        <v>491</v>
      </c>
      <c r="E3809">
        <f>WEEKNUM(Append321[[#This Row],[Date]])</f>
        <v>25</v>
      </c>
    </row>
    <row r="3810" spans="1:5">
      <c r="A3810" t="s">
        <v>114</v>
      </c>
      <c r="B3810" t="s">
        <v>96</v>
      </c>
      <c r="C3810" s="5">
        <v>45461</v>
      </c>
      <c r="D3810">
        <v>532</v>
      </c>
      <c r="E3810">
        <f>WEEKNUM(Append321[[#This Row],[Date]])</f>
        <v>25</v>
      </c>
    </row>
    <row r="3811" spans="1:5">
      <c r="A3811" t="s">
        <v>114</v>
      </c>
      <c r="B3811" t="s">
        <v>96</v>
      </c>
      <c r="C3811" s="5">
        <v>45462</v>
      </c>
      <c r="D3811">
        <v>562</v>
      </c>
      <c r="E3811">
        <f>WEEKNUM(Append321[[#This Row],[Date]])</f>
        <v>25</v>
      </c>
    </row>
    <row r="3812" spans="1:5">
      <c r="A3812" t="s">
        <v>114</v>
      </c>
      <c r="B3812" t="s">
        <v>96</v>
      </c>
      <c r="C3812" s="5">
        <v>45463</v>
      </c>
      <c r="D3812">
        <v>495</v>
      </c>
      <c r="E3812">
        <f>WEEKNUM(Append321[[#This Row],[Date]])</f>
        <v>25</v>
      </c>
    </row>
    <row r="3813" spans="1:5">
      <c r="A3813" t="s">
        <v>114</v>
      </c>
      <c r="B3813" t="s">
        <v>96</v>
      </c>
      <c r="C3813" s="5">
        <v>45464</v>
      </c>
      <c r="D3813">
        <v>512</v>
      </c>
      <c r="E3813">
        <f>WEEKNUM(Append321[[#This Row],[Date]])</f>
        <v>25</v>
      </c>
    </row>
    <row r="3814" spans="1:5">
      <c r="A3814" t="s">
        <v>114</v>
      </c>
      <c r="B3814" t="s">
        <v>96</v>
      </c>
      <c r="C3814" s="5">
        <v>45465</v>
      </c>
      <c r="D3814">
        <v>540</v>
      </c>
      <c r="E3814">
        <f>WEEKNUM(Append321[[#This Row],[Date]])</f>
        <v>25</v>
      </c>
    </row>
    <row r="3815" spans="1:5">
      <c r="A3815" t="s">
        <v>114</v>
      </c>
      <c r="B3815" t="s">
        <v>96</v>
      </c>
      <c r="C3815" s="5">
        <v>45480</v>
      </c>
      <c r="D3815">
        <v>544</v>
      </c>
      <c r="E3815">
        <f>WEEKNUM(Append321[[#This Row],[Date]])</f>
        <v>28</v>
      </c>
    </row>
    <row r="3816" spans="1:5">
      <c r="A3816" t="s">
        <v>114</v>
      </c>
      <c r="B3816" t="s">
        <v>96</v>
      </c>
      <c r="C3816" s="5">
        <v>45481</v>
      </c>
      <c r="D3816">
        <v>491</v>
      </c>
      <c r="E3816">
        <f>WEEKNUM(Append321[[#This Row],[Date]])</f>
        <v>28</v>
      </c>
    </row>
    <row r="3817" spans="1:5">
      <c r="A3817" t="s">
        <v>114</v>
      </c>
      <c r="B3817" t="s">
        <v>96</v>
      </c>
      <c r="C3817" s="5">
        <v>45482</v>
      </c>
      <c r="D3817">
        <v>532</v>
      </c>
      <c r="E3817">
        <f>WEEKNUM(Append321[[#This Row],[Date]])</f>
        <v>28</v>
      </c>
    </row>
    <row r="3818" spans="1:5">
      <c r="A3818" t="s">
        <v>114</v>
      </c>
      <c r="B3818" t="s">
        <v>96</v>
      </c>
      <c r="C3818" s="5">
        <v>45483</v>
      </c>
      <c r="D3818">
        <v>562</v>
      </c>
      <c r="E3818">
        <f>WEEKNUM(Append321[[#This Row],[Date]])</f>
        <v>28</v>
      </c>
    </row>
    <row r="3819" spans="1:5">
      <c r="A3819" t="s">
        <v>114</v>
      </c>
      <c r="B3819" t="s">
        <v>96</v>
      </c>
      <c r="C3819" s="5">
        <v>45484</v>
      </c>
      <c r="D3819">
        <v>495</v>
      </c>
      <c r="E3819">
        <f>WEEKNUM(Append321[[#This Row],[Date]])</f>
        <v>28</v>
      </c>
    </row>
    <row r="3820" spans="1:5">
      <c r="A3820" t="s">
        <v>114</v>
      </c>
      <c r="B3820" t="s">
        <v>96</v>
      </c>
      <c r="C3820" s="5">
        <v>45485</v>
      </c>
      <c r="D3820">
        <v>512</v>
      </c>
      <c r="E3820">
        <f>WEEKNUM(Append321[[#This Row],[Date]])</f>
        <v>28</v>
      </c>
    </row>
    <row r="3821" spans="1:5">
      <c r="A3821" t="s">
        <v>114</v>
      </c>
      <c r="B3821" t="s">
        <v>96</v>
      </c>
      <c r="C3821" s="5">
        <v>45486</v>
      </c>
      <c r="D3821">
        <v>540</v>
      </c>
      <c r="E3821">
        <f>WEEKNUM(Append321[[#This Row],[Date]])</f>
        <v>28</v>
      </c>
    </row>
    <row r="3822" spans="1:5">
      <c r="A3822" t="s">
        <v>114</v>
      </c>
      <c r="B3822" t="s">
        <v>96</v>
      </c>
      <c r="C3822" s="5">
        <v>45495</v>
      </c>
      <c r="D3822">
        <v>544</v>
      </c>
      <c r="E3822">
        <f>WEEKNUM(Append321[[#This Row],[Date]])</f>
        <v>30</v>
      </c>
    </row>
    <row r="3823" spans="1:5">
      <c r="A3823" t="s">
        <v>114</v>
      </c>
      <c r="B3823" t="s">
        <v>96</v>
      </c>
      <c r="C3823" s="5">
        <v>45496</v>
      </c>
      <c r="D3823">
        <v>491</v>
      </c>
      <c r="E3823">
        <f>WEEKNUM(Append321[[#This Row],[Date]])</f>
        <v>30</v>
      </c>
    </row>
    <row r="3824" spans="1:5">
      <c r="A3824" t="s">
        <v>114</v>
      </c>
      <c r="B3824" t="s">
        <v>96</v>
      </c>
      <c r="C3824" s="5">
        <v>45497</v>
      </c>
      <c r="D3824">
        <v>532</v>
      </c>
      <c r="E3824">
        <f>WEEKNUM(Append321[[#This Row],[Date]])</f>
        <v>30</v>
      </c>
    </row>
    <row r="3825" spans="1:5">
      <c r="A3825" t="s">
        <v>114</v>
      </c>
      <c r="B3825" t="s">
        <v>96</v>
      </c>
      <c r="C3825" s="5">
        <v>45498</v>
      </c>
      <c r="D3825">
        <v>562</v>
      </c>
      <c r="E3825">
        <f>WEEKNUM(Append321[[#This Row],[Date]])</f>
        <v>30</v>
      </c>
    </row>
    <row r="3826" spans="1:5">
      <c r="A3826" t="s">
        <v>114</v>
      </c>
      <c r="B3826" t="s">
        <v>96</v>
      </c>
      <c r="C3826" s="5">
        <v>45499</v>
      </c>
      <c r="D3826">
        <v>495</v>
      </c>
      <c r="E3826">
        <f>WEEKNUM(Append321[[#This Row],[Date]])</f>
        <v>30</v>
      </c>
    </row>
    <row r="3827" spans="1:5">
      <c r="A3827" t="s">
        <v>114</v>
      </c>
      <c r="B3827" t="s">
        <v>96</v>
      </c>
      <c r="C3827" s="5">
        <v>45500</v>
      </c>
      <c r="D3827">
        <v>512</v>
      </c>
      <c r="E3827">
        <f>WEEKNUM(Append321[[#This Row],[Date]])</f>
        <v>30</v>
      </c>
    </row>
    <row r="3828" spans="1:5">
      <c r="A3828" t="s">
        <v>114</v>
      </c>
      <c r="B3828" t="s">
        <v>96</v>
      </c>
      <c r="C3828" s="5">
        <v>45501</v>
      </c>
      <c r="D3828">
        <v>540</v>
      </c>
      <c r="E3828">
        <f>WEEKNUM(Append321[[#This Row],[Date]])</f>
        <v>31</v>
      </c>
    </row>
    <row r="3829" spans="1:5">
      <c r="A3829" t="s">
        <v>114</v>
      </c>
      <c r="B3829" t="s">
        <v>96</v>
      </c>
      <c r="C3829" s="5">
        <v>45527</v>
      </c>
      <c r="D3829">
        <v>133</v>
      </c>
      <c r="E3829">
        <f>WEEKNUM(Append321[[#This Row],[Date]])</f>
        <v>34</v>
      </c>
    </row>
    <row r="3830" spans="1:5">
      <c r="A3830" t="s">
        <v>114</v>
      </c>
      <c r="B3830" t="s">
        <v>96</v>
      </c>
      <c r="C3830" s="5">
        <v>45528</v>
      </c>
      <c r="D3830">
        <v>149</v>
      </c>
      <c r="E3830">
        <f>WEEKNUM(Append321[[#This Row],[Date]])</f>
        <v>34</v>
      </c>
    </row>
    <row r="3831" spans="1:5">
      <c r="A3831" t="s">
        <v>114</v>
      </c>
      <c r="B3831" t="s">
        <v>96</v>
      </c>
      <c r="C3831" s="5">
        <v>45529</v>
      </c>
      <c r="D3831">
        <v>141</v>
      </c>
      <c r="E3831">
        <f>WEEKNUM(Append321[[#This Row],[Date]])</f>
        <v>35</v>
      </c>
    </row>
    <row r="3832" spans="1:5">
      <c r="A3832" t="s">
        <v>114</v>
      </c>
      <c r="B3832" t="s">
        <v>96</v>
      </c>
      <c r="C3832" s="5">
        <v>45530</v>
      </c>
      <c r="D3832">
        <v>134</v>
      </c>
      <c r="E3832">
        <f>WEEKNUM(Append321[[#This Row],[Date]])</f>
        <v>35</v>
      </c>
    </row>
    <row r="3833" spans="1:5">
      <c r="A3833" t="s">
        <v>114</v>
      </c>
      <c r="B3833" t="s">
        <v>96</v>
      </c>
      <c r="C3833" s="5">
        <v>45531</v>
      </c>
      <c r="D3833">
        <v>165</v>
      </c>
      <c r="E3833">
        <f>WEEKNUM(Append321[[#This Row],[Date]])</f>
        <v>35</v>
      </c>
    </row>
    <row r="3834" spans="1:5">
      <c r="A3834" t="s">
        <v>114</v>
      </c>
      <c r="B3834" t="s">
        <v>96</v>
      </c>
      <c r="C3834" s="5">
        <v>45532</v>
      </c>
      <c r="D3834">
        <v>175</v>
      </c>
      <c r="E3834">
        <f>WEEKNUM(Append321[[#This Row],[Date]])</f>
        <v>35</v>
      </c>
    </row>
    <row r="3835" spans="1:5">
      <c r="A3835" t="s">
        <v>114</v>
      </c>
      <c r="B3835" t="s">
        <v>96</v>
      </c>
      <c r="C3835" s="5">
        <v>45533</v>
      </c>
      <c r="D3835">
        <v>151</v>
      </c>
      <c r="E3835">
        <f>WEEKNUM(Append321[[#This Row],[Date]])</f>
        <v>35</v>
      </c>
    </row>
    <row r="3836" spans="1:5">
      <c r="A3836" t="s">
        <v>114</v>
      </c>
      <c r="B3836" t="s">
        <v>96</v>
      </c>
      <c r="C3836" s="5">
        <v>45534</v>
      </c>
      <c r="D3836">
        <v>132</v>
      </c>
      <c r="E3836">
        <f>WEEKNUM(Append321[[#This Row],[Date]])</f>
        <v>35</v>
      </c>
    </row>
    <row r="3837" spans="1:5">
      <c r="A3837" t="s">
        <v>114</v>
      </c>
      <c r="B3837" t="s">
        <v>96</v>
      </c>
      <c r="C3837" s="5">
        <v>45535</v>
      </c>
      <c r="D3837">
        <v>133</v>
      </c>
      <c r="E3837">
        <f>WEEKNUM(Append321[[#This Row],[Date]])</f>
        <v>35</v>
      </c>
    </row>
    <row r="3838" spans="1:5">
      <c r="A3838" t="s">
        <v>114</v>
      </c>
      <c r="B3838" t="s">
        <v>97</v>
      </c>
      <c r="C3838" s="5">
        <v>45459</v>
      </c>
      <c r="D3838">
        <v>80</v>
      </c>
      <c r="E3838">
        <f>WEEKNUM(Append321[[#This Row],[Date]])</f>
        <v>25</v>
      </c>
    </row>
    <row r="3839" spans="1:5">
      <c r="A3839" t="s">
        <v>114</v>
      </c>
      <c r="B3839" t="s">
        <v>97</v>
      </c>
      <c r="C3839" s="5">
        <v>45460</v>
      </c>
      <c r="D3839">
        <v>72</v>
      </c>
      <c r="E3839">
        <f>WEEKNUM(Append321[[#This Row],[Date]])</f>
        <v>25</v>
      </c>
    </row>
    <row r="3840" spans="1:5">
      <c r="A3840" t="s">
        <v>114</v>
      </c>
      <c r="B3840" t="s">
        <v>97</v>
      </c>
      <c r="C3840" s="5">
        <v>45461</v>
      </c>
      <c r="D3840">
        <v>121</v>
      </c>
      <c r="E3840">
        <f>WEEKNUM(Append321[[#This Row],[Date]])</f>
        <v>25</v>
      </c>
    </row>
    <row r="3841" spans="1:5">
      <c r="A3841" t="s">
        <v>114</v>
      </c>
      <c r="B3841" t="s">
        <v>97</v>
      </c>
      <c r="C3841" s="5">
        <v>45462</v>
      </c>
      <c r="D3841">
        <v>108</v>
      </c>
      <c r="E3841">
        <f>WEEKNUM(Append321[[#This Row],[Date]])</f>
        <v>25</v>
      </c>
    </row>
    <row r="3842" spans="1:5">
      <c r="A3842" t="s">
        <v>114</v>
      </c>
      <c r="B3842" t="s">
        <v>97</v>
      </c>
      <c r="C3842" s="5">
        <v>45463</v>
      </c>
      <c r="D3842">
        <v>152</v>
      </c>
      <c r="E3842">
        <f>WEEKNUM(Append321[[#This Row],[Date]])</f>
        <v>25</v>
      </c>
    </row>
    <row r="3843" spans="1:5">
      <c r="A3843" t="s">
        <v>114</v>
      </c>
      <c r="B3843" t="s">
        <v>97</v>
      </c>
      <c r="C3843" s="5">
        <v>45464</v>
      </c>
      <c r="D3843">
        <v>154</v>
      </c>
      <c r="E3843">
        <f>WEEKNUM(Append321[[#This Row],[Date]])</f>
        <v>25</v>
      </c>
    </row>
    <row r="3844" spans="1:5">
      <c r="A3844" t="s">
        <v>114</v>
      </c>
      <c r="B3844" t="s">
        <v>97</v>
      </c>
      <c r="C3844" s="5">
        <v>45465</v>
      </c>
      <c r="D3844">
        <v>208</v>
      </c>
      <c r="E3844">
        <f>WEEKNUM(Append321[[#This Row],[Date]])</f>
        <v>25</v>
      </c>
    </row>
    <row r="3845" spans="1:5">
      <c r="A3845" t="s">
        <v>114</v>
      </c>
      <c r="B3845" t="s">
        <v>97</v>
      </c>
      <c r="C3845" s="5">
        <v>45480</v>
      </c>
      <c r="D3845">
        <v>80</v>
      </c>
      <c r="E3845">
        <f>WEEKNUM(Append321[[#This Row],[Date]])</f>
        <v>28</v>
      </c>
    </row>
    <row r="3846" spans="1:5">
      <c r="A3846" t="s">
        <v>114</v>
      </c>
      <c r="B3846" t="s">
        <v>97</v>
      </c>
      <c r="C3846" s="5">
        <v>45481</v>
      </c>
      <c r="D3846">
        <v>72</v>
      </c>
      <c r="E3846">
        <f>WEEKNUM(Append321[[#This Row],[Date]])</f>
        <v>28</v>
      </c>
    </row>
    <row r="3847" spans="1:5">
      <c r="A3847" t="s">
        <v>114</v>
      </c>
      <c r="B3847" t="s">
        <v>97</v>
      </c>
      <c r="C3847" s="5">
        <v>45482</v>
      </c>
      <c r="D3847">
        <v>121</v>
      </c>
      <c r="E3847">
        <f>WEEKNUM(Append321[[#This Row],[Date]])</f>
        <v>28</v>
      </c>
    </row>
    <row r="3848" spans="1:5">
      <c r="A3848" t="s">
        <v>114</v>
      </c>
      <c r="B3848" t="s">
        <v>97</v>
      </c>
      <c r="C3848" s="5">
        <v>45483</v>
      </c>
      <c r="D3848">
        <v>108</v>
      </c>
      <c r="E3848">
        <f>WEEKNUM(Append321[[#This Row],[Date]])</f>
        <v>28</v>
      </c>
    </row>
    <row r="3849" spans="1:5">
      <c r="A3849" t="s">
        <v>114</v>
      </c>
      <c r="B3849" t="s">
        <v>97</v>
      </c>
      <c r="C3849" s="5">
        <v>45484</v>
      </c>
      <c r="D3849">
        <v>152</v>
      </c>
      <c r="E3849">
        <f>WEEKNUM(Append321[[#This Row],[Date]])</f>
        <v>28</v>
      </c>
    </row>
    <row r="3850" spans="1:5">
      <c r="A3850" t="s">
        <v>114</v>
      </c>
      <c r="B3850" t="s">
        <v>97</v>
      </c>
      <c r="C3850" s="5">
        <v>45485</v>
      </c>
      <c r="D3850">
        <v>154</v>
      </c>
      <c r="E3850">
        <f>WEEKNUM(Append321[[#This Row],[Date]])</f>
        <v>28</v>
      </c>
    </row>
    <row r="3851" spans="1:5">
      <c r="A3851" t="s">
        <v>114</v>
      </c>
      <c r="B3851" t="s">
        <v>97</v>
      </c>
      <c r="C3851" s="5">
        <v>45486</v>
      </c>
      <c r="D3851">
        <v>208</v>
      </c>
      <c r="E3851">
        <f>WEEKNUM(Append321[[#This Row],[Date]])</f>
        <v>28</v>
      </c>
    </row>
    <row r="3852" spans="1:5">
      <c r="A3852" t="s">
        <v>114</v>
      </c>
      <c r="B3852" t="s">
        <v>97</v>
      </c>
      <c r="C3852" s="5">
        <v>45495</v>
      </c>
      <c r="D3852">
        <v>80</v>
      </c>
      <c r="E3852">
        <f>WEEKNUM(Append321[[#This Row],[Date]])</f>
        <v>30</v>
      </c>
    </row>
    <row r="3853" spans="1:5">
      <c r="A3853" t="s">
        <v>114</v>
      </c>
      <c r="B3853" t="s">
        <v>97</v>
      </c>
      <c r="C3853" s="5">
        <v>45496</v>
      </c>
      <c r="D3853">
        <v>72</v>
      </c>
      <c r="E3853">
        <f>WEEKNUM(Append321[[#This Row],[Date]])</f>
        <v>30</v>
      </c>
    </row>
    <row r="3854" spans="1:5">
      <c r="A3854" t="s">
        <v>114</v>
      </c>
      <c r="B3854" t="s">
        <v>97</v>
      </c>
      <c r="C3854" s="5">
        <v>45497</v>
      </c>
      <c r="D3854">
        <v>121</v>
      </c>
      <c r="E3854">
        <f>WEEKNUM(Append321[[#This Row],[Date]])</f>
        <v>30</v>
      </c>
    </row>
    <row r="3855" spans="1:5">
      <c r="A3855" t="s">
        <v>114</v>
      </c>
      <c r="B3855" t="s">
        <v>97</v>
      </c>
      <c r="C3855" s="5">
        <v>45498</v>
      </c>
      <c r="D3855">
        <v>108</v>
      </c>
      <c r="E3855">
        <f>WEEKNUM(Append321[[#This Row],[Date]])</f>
        <v>30</v>
      </c>
    </row>
    <row r="3856" spans="1:5">
      <c r="A3856" t="s">
        <v>114</v>
      </c>
      <c r="B3856" t="s">
        <v>97</v>
      </c>
      <c r="C3856" s="5">
        <v>45499</v>
      </c>
      <c r="D3856">
        <v>152</v>
      </c>
      <c r="E3856">
        <f>WEEKNUM(Append321[[#This Row],[Date]])</f>
        <v>30</v>
      </c>
    </row>
    <row r="3857" spans="1:5">
      <c r="A3857" t="s">
        <v>114</v>
      </c>
      <c r="B3857" t="s">
        <v>97</v>
      </c>
      <c r="C3857" s="5">
        <v>45500</v>
      </c>
      <c r="D3857">
        <v>154</v>
      </c>
      <c r="E3857">
        <f>WEEKNUM(Append321[[#This Row],[Date]])</f>
        <v>30</v>
      </c>
    </row>
    <row r="3858" spans="1:5">
      <c r="A3858" t="s">
        <v>114</v>
      </c>
      <c r="B3858" t="s">
        <v>97</v>
      </c>
      <c r="C3858" s="5">
        <v>45501</v>
      </c>
      <c r="D3858">
        <v>208</v>
      </c>
      <c r="E3858">
        <f>WEEKNUM(Append321[[#This Row],[Date]])</f>
        <v>31</v>
      </c>
    </row>
    <row r="3859" spans="1:5">
      <c r="A3859" t="s">
        <v>114</v>
      </c>
      <c r="B3859" t="s">
        <v>98</v>
      </c>
      <c r="C3859" s="5">
        <v>45459</v>
      </c>
      <c r="D3859">
        <v>56</v>
      </c>
      <c r="E3859">
        <f>WEEKNUM(Append321[[#This Row],[Date]])</f>
        <v>25</v>
      </c>
    </row>
    <row r="3860" spans="1:5">
      <c r="A3860" t="s">
        <v>114</v>
      </c>
      <c r="B3860" t="s">
        <v>98</v>
      </c>
      <c r="C3860" s="5">
        <v>45460</v>
      </c>
      <c r="D3860">
        <v>59</v>
      </c>
      <c r="E3860">
        <f>WEEKNUM(Append321[[#This Row],[Date]])</f>
        <v>25</v>
      </c>
    </row>
    <row r="3861" spans="1:5">
      <c r="A3861" t="s">
        <v>114</v>
      </c>
      <c r="B3861" t="s">
        <v>98</v>
      </c>
      <c r="C3861" s="5">
        <v>45461</v>
      </c>
      <c r="D3861">
        <v>59</v>
      </c>
      <c r="E3861">
        <f>WEEKNUM(Append321[[#This Row],[Date]])</f>
        <v>25</v>
      </c>
    </row>
    <row r="3862" spans="1:5">
      <c r="A3862" t="s">
        <v>114</v>
      </c>
      <c r="B3862" t="s">
        <v>98</v>
      </c>
      <c r="C3862" s="5">
        <v>45462</v>
      </c>
      <c r="D3862">
        <v>74</v>
      </c>
      <c r="E3862">
        <f>WEEKNUM(Append321[[#This Row],[Date]])</f>
        <v>25</v>
      </c>
    </row>
    <row r="3863" spans="1:5">
      <c r="A3863" t="s">
        <v>114</v>
      </c>
      <c r="B3863" t="s">
        <v>98</v>
      </c>
      <c r="C3863" s="5">
        <v>45463</v>
      </c>
      <c r="D3863">
        <v>112</v>
      </c>
      <c r="E3863">
        <f>WEEKNUM(Append321[[#This Row],[Date]])</f>
        <v>25</v>
      </c>
    </row>
    <row r="3864" spans="1:5">
      <c r="A3864" t="s">
        <v>114</v>
      </c>
      <c r="B3864" t="s">
        <v>98</v>
      </c>
      <c r="C3864" s="5">
        <v>45464</v>
      </c>
      <c r="D3864">
        <v>119</v>
      </c>
      <c r="E3864">
        <f>WEEKNUM(Append321[[#This Row],[Date]])</f>
        <v>25</v>
      </c>
    </row>
    <row r="3865" spans="1:5">
      <c r="A3865" t="s">
        <v>114</v>
      </c>
      <c r="B3865" t="s">
        <v>98</v>
      </c>
      <c r="C3865" s="5">
        <v>45465</v>
      </c>
      <c r="D3865">
        <v>147</v>
      </c>
      <c r="E3865">
        <f>WEEKNUM(Append321[[#This Row],[Date]])</f>
        <v>25</v>
      </c>
    </row>
    <row r="3866" spans="1:5">
      <c r="A3866" t="s">
        <v>114</v>
      </c>
      <c r="B3866" t="s">
        <v>98</v>
      </c>
      <c r="C3866" s="5">
        <v>45480</v>
      </c>
      <c r="D3866">
        <v>56</v>
      </c>
      <c r="E3866">
        <f>WEEKNUM(Append321[[#This Row],[Date]])</f>
        <v>28</v>
      </c>
    </row>
    <row r="3867" spans="1:5">
      <c r="A3867" t="s">
        <v>114</v>
      </c>
      <c r="B3867" t="s">
        <v>98</v>
      </c>
      <c r="C3867" s="5">
        <v>45481</v>
      </c>
      <c r="D3867">
        <v>59</v>
      </c>
      <c r="E3867">
        <f>WEEKNUM(Append321[[#This Row],[Date]])</f>
        <v>28</v>
      </c>
    </row>
    <row r="3868" spans="1:5">
      <c r="A3868" t="s">
        <v>114</v>
      </c>
      <c r="B3868" t="s">
        <v>98</v>
      </c>
      <c r="C3868" s="5">
        <v>45482</v>
      </c>
      <c r="D3868">
        <v>59</v>
      </c>
      <c r="E3868">
        <f>WEEKNUM(Append321[[#This Row],[Date]])</f>
        <v>28</v>
      </c>
    </row>
    <row r="3869" spans="1:5">
      <c r="A3869" t="s">
        <v>114</v>
      </c>
      <c r="B3869" t="s">
        <v>98</v>
      </c>
      <c r="C3869" s="5">
        <v>45483</v>
      </c>
      <c r="D3869">
        <v>74</v>
      </c>
      <c r="E3869">
        <f>WEEKNUM(Append321[[#This Row],[Date]])</f>
        <v>28</v>
      </c>
    </row>
    <row r="3870" spans="1:5">
      <c r="A3870" t="s">
        <v>114</v>
      </c>
      <c r="B3870" t="s">
        <v>98</v>
      </c>
      <c r="C3870" s="5">
        <v>45484</v>
      </c>
      <c r="D3870">
        <v>112</v>
      </c>
      <c r="E3870">
        <f>WEEKNUM(Append321[[#This Row],[Date]])</f>
        <v>28</v>
      </c>
    </row>
    <row r="3871" spans="1:5">
      <c r="A3871" t="s">
        <v>114</v>
      </c>
      <c r="B3871" t="s">
        <v>98</v>
      </c>
      <c r="C3871" s="5">
        <v>45485</v>
      </c>
      <c r="D3871">
        <v>119</v>
      </c>
      <c r="E3871">
        <f>WEEKNUM(Append321[[#This Row],[Date]])</f>
        <v>28</v>
      </c>
    </row>
    <row r="3872" spans="1:5">
      <c r="A3872" t="s">
        <v>114</v>
      </c>
      <c r="B3872" t="s">
        <v>98</v>
      </c>
      <c r="C3872" s="5">
        <v>45486</v>
      </c>
      <c r="D3872">
        <v>147</v>
      </c>
      <c r="E3872">
        <f>WEEKNUM(Append321[[#This Row],[Date]])</f>
        <v>28</v>
      </c>
    </row>
    <row r="3873" spans="1:5">
      <c r="A3873" t="s">
        <v>114</v>
      </c>
      <c r="B3873" t="s">
        <v>98</v>
      </c>
      <c r="C3873" s="5">
        <v>45495</v>
      </c>
      <c r="D3873">
        <v>56</v>
      </c>
      <c r="E3873">
        <f>WEEKNUM(Append321[[#This Row],[Date]])</f>
        <v>30</v>
      </c>
    </row>
    <row r="3874" spans="1:5">
      <c r="A3874" t="s">
        <v>114</v>
      </c>
      <c r="B3874" t="s">
        <v>98</v>
      </c>
      <c r="C3874" s="5">
        <v>45496</v>
      </c>
      <c r="D3874">
        <v>59</v>
      </c>
      <c r="E3874">
        <f>WEEKNUM(Append321[[#This Row],[Date]])</f>
        <v>30</v>
      </c>
    </row>
    <row r="3875" spans="1:5">
      <c r="A3875" t="s">
        <v>114</v>
      </c>
      <c r="B3875" t="s">
        <v>98</v>
      </c>
      <c r="C3875" s="5">
        <v>45497</v>
      </c>
      <c r="D3875">
        <v>59</v>
      </c>
      <c r="E3875">
        <f>WEEKNUM(Append321[[#This Row],[Date]])</f>
        <v>30</v>
      </c>
    </row>
    <row r="3876" spans="1:5">
      <c r="A3876" t="s">
        <v>114</v>
      </c>
      <c r="B3876" t="s">
        <v>98</v>
      </c>
      <c r="C3876" s="5">
        <v>45498</v>
      </c>
      <c r="D3876">
        <v>74</v>
      </c>
      <c r="E3876">
        <f>WEEKNUM(Append321[[#This Row],[Date]])</f>
        <v>30</v>
      </c>
    </row>
    <row r="3877" spans="1:5">
      <c r="A3877" t="s">
        <v>114</v>
      </c>
      <c r="B3877" t="s">
        <v>98</v>
      </c>
      <c r="C3877" s="5">
        <v>45499</v>
      </c>
      <c r="D3877">
        <v>112</v>
      </c>
      <c r="E3877">
        <f>WEEKNUM(Append321[[#This Row],[Date]])</f>
        <v>30</v>
      </c>
    </row>
    <row r="3878" spans="1:5">
      <c r="A3878" t="s">
        <v>114</v>
      </c>
      <c r="B3878" t="s">
        <v>98</v>
      </c>
      <c r="C3878" s="5">
        <v>45500</v>
      </c>
      <c r="D3878">
        <v>119</v>
      </c>
      <c r="E3878">
        <f>WEEKNUM(Append321[[#This Row],[Date]])</f>
        <v>30</v>
      </c>
    </row>
    <row r="3879" spans="1:5">
      <c r="A3879" t="s">
        <v>114</v>
      </c>
      <c r="B3879" t="s">
        <v>98</v>
      </c>
      <c r="C3879" s="5">
        <v>45501</v>
      </c>
      <c r="D3879">
        <v>147</v>
      </c>
      <c r="E3879">
        <f>WEEKNUM(Append321[[#This Row],[Date]])</f>
        <v>31</v>
      </c>
    </row>
    <row r="3880" spans="1:5">
      <c r="A3880" t="s">
        <v>114</v>
      </c>
      <c r="B3880" t="s">
        <v>99</v>
      </c>
      <c r="C3880" s="5">
        <v>45459</v>
      </c>
      <c r="D3880">
        <v>192</v>
      </c>
      <c r="E3880">
        <f>WEEKNUM(Append321[[#This Row],[Date]])</f>
        <v>25</v>
      </c>
    </row>
    <row r="3881" spans="1:5">
      <c r="A3881" t="s">
        <v>114</v>
      </c>
      <c r="B3881" t="s">
        <v>99</v>
      </c>
      <c r="C3881" s="5">
        <v>45460</v>
      </c>
      <c r="D3881">
        <v>203</v>
      </c>
      <c r="E3881">
        <f>WEEKNUM(Append321[[#This Row],[Date]])</f>
        <v>25</v>
      </c>
    </row>
    <row r="3882" spans="1:5">
      <c r="A3882" t="s">
        <v>114</v>
      </c>
      <c r="B3882" t="s">
        <v>99</v>
      </c>
      <c r="C3882" s="5">
        <v>45461</v>
      </c>
      <c r="D3882">
        <v>223</v>
      </c>
      <c r="E3882">
        <f>WEEKNUM(Append321[[#This Row],[Date]])</f>
        <v>25</v>
      </c>
    </row>
    <row r="3883" spans="1:5">
      <c r="A3883" t="s">
        <v>114</v>
      </c>
      <c r="B3883" t="s">
        <v>99</v>
      </c>
      <c r="C3883" s="5">
        <v>45462</v>
      </c>
      <c r="D3883">
        <v>230</v>
      </c>
      <c r="E3883">
        <f>WEEKNUM(Append321[[#This Row],[Date]])</f>
        <v>25</v>
      </c>
    </row>
    <row r="3884" spans="1:5">
      <c r="A3884" t="s">
        <v>114</v>
      </c>
      <c r="B3884" t="s">
        <v>99</v>
      </c>
      <c r="C3884" s="5">
        <v>45463</v>
      </c>
      <c r="D3884">
        <v>202</v>
      </c>
      <c r="E3884">
        <f>WEEKNUM(Append321[[#This Row],[Date]])</f>
        <v>25</v>
      </c>
    </row>
    <row r="3885" spans="1:5">
      <c r="A3885" t="s">
        <v>114</v>
      </c>
      <c r="B3885" t="s">
        <v>99</v>
      </c>
      <c r="C3885" s="5">
        <v>45464</v>
      </c>
      <c r="D3885">
        <v>239</v>
      </c>
      <c r="E3885">
        <f>WEEKNUM(Append321[[#This Row],[Date]])</f>
        <v>25</v>
      </c>
    </row>
    <row r="3886" spans="1:5">
      <c r="A3886" t="s">
        <v>114</v>
      </c>
      <c r="B3886" t="s">
        <v>99</v>
      </c>
      <c r="C3886" s="5">
        <v>45465</v>
      </c>
      <c r="D3886">
        <v>278</v>
      </c>
      <c r="E3886">
        <f>WEEKNUM(Append321[[#This Row],[Date]])</f>
        <v>25</v>
      </c>
    </row>
    <row r="3887" spans="1:5">
      <c r="A3887" t="s">
        <v>114</v>
      </c>
      <c r="B3887" t="s">
        <v>99</v>
      </c>
      <c r="C3887" s="5">
        <v>45480</v>
      </c>
      <c r="D3887">
        <v>192</v>
      </c>
      <c r="E3887">
        <f>WEEKNUM(Append321[[#This Row],[Date]])</f>
        <v>28</v>
      </c>
    </row>
    <row r="3888" spans="1:5">
      <c r="A3888" t="s">
        <v>114</v>
      </c>
      <c r="B3888" t="s">
        <v>99</v>
      </c>
      <c r="C3888" s="5">
        <v>45481</v>
      </c>
      <c r="D3888">
        <v>203</v>
      </c>
      <c r="E3888">
        <f>WEEKNUM(Append321[[#This Row],[Date]])</f>
        <v>28</v>
      </c>
    </row>
    <row r="3889" spans="1:5">
      <c r="A3889" t="s">
        <v>114</v>
      </c>
      <c r="B3889" t="s">
        <v>99</v>
      </c>
      <c r="C3889" s="5">
        <v>45482</v>
      </c>
      <c r="D3889">
        <v>223</v>
      </c>
      <c r="E3889">
        <f>WEEKNUM(Append321[[#This Row],[Date]])</f>
        <v>28</v>
      </c>
    </row>
    <row r="3890" spans="1:5">
      <c r="A3890" t="s">
        <v>114</v>
      </c>
      <c r="B3890" t="s">
        <v>99</v>
      </c>
      <c r="C3890" s="5">
        <v>45483</v>
      </c>
      <c r="D3890">
        <v>230</v>
      </c>
      <c r="E3890">
        <f>WEEKNUM(Append321[[#This Row],[Date]])</f>
        <v>28</v>
      </c>
    </row>
    <row r="3891" spans="1:5">
      <c r="A3891" t="s">
        <v>114</v>
      </c>
      <c r="B3891" t="s">
        <v>99</v>
      </c>
      <c r="C3891" s="5">
        <v>45484</v>
      </c>
      <c r="D3891">
        <v>202</v>
      </c>
      <c r="E3891">
        <f>WEEKNUM(Append321[[#This Row],[Date]])</f>
        <v>28</v>
      </c>
    </row>
    <row r="3892" spans="1:5">
      <c r="A3892" t="s">
        <v>114</v>
      </c>
      <c r="B3892" t="s">
        <v>99</v>
      </c>
      <c r="C3892" s="5">
        <v>45485</v>
      </c>
      <c r="D3892">
        <v>239</v>
      </c>
      <c r="E3892">
        <f>WEEKNUM(Append321[[#This Row],[Date]])</f>
        <v>28</v>
      </c>
    </row>
    <row r="3893" spans="1:5">
      <c r="A3893" t="s">
        <v>114</v>
      </c>
      <c r="B3893" t="s">
        <v>99</v>
      </c>
      <c r="C3893" s="5">
        <v>45486</v>
      </c>
      <c r="D3893">
        <v>278</v>
      </c>
      <c r="E3893">
        <f>WEEKNUM(Append321[[#This Row],[Date]])</f>
        <v>28</v>
      </c>
    </row>
    <row r="3894" spans="1:5">
      <c r="A3894" t="s">
        <v>114</v>
      </c>
      <c r="B3894" t="s">
        <v>99</v>
      </c>
      <c r="C3894" s="5">
        <v>45495</v>
      </c>
      <c r="D3894">
        <v>192</v>
      </c>
      <c r="E3894">
        <f>WEEKNUM(Append321[[#This Row],[Date]])</f>
        <v>30</v>
      </c>
    </row>
    <row r="3895" spans="1:5">
      <c r="A3895" t="s">
        <v>114</v>
      </c>
      <c r="B3895" t="s">
        <v>99</v>
      </c>
      <c r="C3895" s="5">
        <v>45496</v>
      </c>
      <c r="D3895">
        <v>203</v>
      </c>
      <c r="E3895">
        <f>WEEKNUM(Append321[[#This Row],[Date]])</f>
        <v>30</v>
      </c>
    </row>
    <row r="3896" spans="1:5">
      <c r="A3896" t="s">
        <v>114</v>
      </c>
      <c r="B3896" t="s">
        <v>99</v>
      </c>
      <c r="C3896" s="5">
        <v>45497</v>
      </c>
      <c r="D3896">
        <v>223</v>
      </c>
      <c r="E3896">
        <f>WEEKNUM(Append321[[#This Row],[Date]])</f>
        <v>30</v>
      </c>
    </row>
    <row r="3897" spans="1:5">
      <c r="A3897" t="s">
        <v>114</v>
      </c>
      <c r="B3897" t="s">
        <v>99</v>
      </c>
      <c r="C3897" s="5">
        <v>45498</v>
      </c>
      <c r="D3897">
        <v>230</v>
      </c>
      <c r="E3897">
        <f>WEEKNUM(Append321[[#This Row],[Date]])</f>
        <v>30</v>
      </c>
    </row>
    <row r="3898" spans="1:5">
      <c r="A3898" t="s">
        <v>114</v>
      </c>
      <c r="B3898" t="s">
        <v>99</v>
      </c>
      <c r="C3898" s="5">
        <v>45499</v>
      </c>
      <c r="D3898">
        <v>202</v>
      </c>
      <c r="E3898">
        <f>WEEKNUM(Append321[[#This Row],[Date]])</f>
        <v>30</v>
      </c>
    </row>
    <row r="3899" spans="1:5">
      <c r="A3899" t="s">
        <v>114</v>
      </c>
      <c r="B3899" t="s">
        <v>99</v>
      </c>
      <c r="C3899" s="5">
        <v>45500</v>
      </c>
      <c r="D3899">
        <v>239</v>
      </c>
      <c r="E3899">
        <f>WEEKNUM(Append321[[#This Row],[Date]])</f>
        <v>30</v>
      </c>
    </row>
    <row r="3900" spans="1:5">
      <c r="A3900" t="s">
        <v>114</v>
      </c>
      <c r="B3900" t="s">
        <v>99</v>
      </c>
      <c r="C3900" s="5">
        <v>45501</v>
      </c>
      <c r="D3900">
        <v>278</v>
      </c>
      <c r="E3900">
        <f>WEEKNUM(Append321[[#This Row],[Date]])</f>
        <v>31</v>
      </c>
    </row>
    <row r="3901" spans="1:5">
      <c r="A3901" t="s">
        <v>114</v>
      </c>
      <c r="B3901" t="s">
        <v>99</v>
      </c>
      <c r="C3901" s="5">
        <v>45527</v>
      </c>
      <c r="D3901">
        <v>97</v>
      </c>
      <c r="E3901">
        <f>WEEKNUM(Append321[[#This Row],[Date]])</f>
        <v>34</v>
      </c>
    </row>
    <row r="3902" spans="1:5">
      <c r="A3902" t="s">
        <v>114</v>
      </c>
      <c r="B3902" t="s">
        <v>99</v>
      </c>
      <c r="C3902" s="5">
        <v>45528</v>
      </c>
      <c r="D3902">
        <v>77</v>
      </c>
      <c r="E3902">
        <f>WEEKNUM(Append321[[#This Row],[Date]])</f>
        <v>34</v>
      </c>
    </row>
    <row r="3903" spans="1:5">
      <c r="A3903" t="s">
        <v>114</v>
      </c>
      <c r="B3903" t="s">
        <v>99</v>
      </c>
      <c r="C3903" s="5">
        <v>45529</v>
      </c>
      <c r="D3903">
        <v>84</v>
      </c>
      <c r="E3903">
        <f>WEEKNUM(Append321[[#This Row],[Date]])</f>
        <v>35</v>
      </c>
    </row>
    <row r="3904" spans="1:5">
      <c r="A3904" t="s">
        <v>114</v>
      </c>
      <c r="B3904" t="s">
        <v>99</v>
      </c>
      <c r="C3904" s="5">
        <v>45530</v>
      </c>
      <c r="D3904">
        <v>81</v>
      </c>
      <c r="E3904">
        <f>WEEKNUM(Append321[[#This Row],[Date]])</f>
        <v>35</v>
      </c>
    </row>
    <row r="3905" spans="1:5">
      <c r="A3905" t="s">
        <v>114</v>
      </c>
      <c r="B3905" t="s">
        <v>99</v>
      </c>
      <c r="C3905" s="5">
        <v>45531</v>
      </c>
      <c r="D3905">
        <v>62</v>
      </c>
      <c r="E3905">
        <f>WEEKNUM(Append321[[#This Row],[Date]])</f>
        <v>35</v>
      </c>
    </row>
    <row r="3906" spans="1:5">
      <c r="A3906" t="s">
        <v>114</v>
      </c>
      <c r="B3906" t="s">
        <v>99</v>
      </c>
      <c r="C3906" s="5">
        <v>45532</v>
      </c>
      <c r="D3906">
        <v>79</v>
      </c>
      <c r="E3906">
        <f>WEEKNUM(Append321[[#This Row],[Date]])</f>
        <v>35</v>
      </c>
    </row>
    <row r="3907" spans="1:5">
      <c r="A3907" t="s">
        <v>114</v>
      </c>
      <c r="B3907" t="s">
        <v>99</v>
      </c>
      <c r="C3907" s="5">
        <v>45533</v>
      </c>
      <c r="D3907">
        <v>77</v>
      </c>
      <c r="E3907">
        <f>WEEKNUM(Append321[[#This Row],[Date]])</f>
        <v>35</v>
      </c>
    </row>
    <row r="3908" spans="1:5">
      <c r="A3908" t="s">
        <v>114</v>
      </c>
      <c r="B3908" t="s">
        <v>99</v>
      </c>
      <c r="C3908" s="5">
        <v>45534</v>
      </c>
      <c r="D3908">
        <v>89</v>
      </c>
      <c r="E3908">
        <f>WEEKNUM(Append321[[#This Row],[Date]])</f>
        <v>35</v>
      </c>
    </row>
    <row r="3909" spans="1:5">
      <c r="A3909" t="s">
        <v>114</v>
      </c>
      <c r="B3909" t="s">
        <v>99</v>
      </c>
      <c r="C3909" s="5">
        <v>45535</v>
      </c>
      <c r="D3909">
        <v>70</v>
      </c>
      <c r="E3909">
        <f>WEEKNUM(Append321[[#This Row],[Date]])</f>
        <v>35</v>
      </c>
    </row>
    <row r="3910" spans="1:5">
      <c r="A3910" t="s">
        <v>114</v>
      </c>
      <c r="B3910" t="s">
        <v>100</v>
      </c>
      <c r="C3910" s="5">
        <v>45459</v>
      </c>
      <c r="D3910">
        <v>171</v>
      </c>
      <c r="E3910">
        <f>WEEKNUM(Append321[[#This Row],[Date]])</f>
        <v>25</v>
      </c>
    </row>
    <row r="3911" spans="1:5">
      <c r="A3911" t="s">
        <v>114</v>
      </c>
      <c r="B3911" t="s">
        <v>100</v>
      </c>
      <c r="C3911" s="5">
        <v>45460</v>
      </c>
      <c r="D3911">
        <v>164</v>
      </c>
      <c r="E3911">
        <f>WEEKNUM(Append321[[#This Row],[Date]])</f>
        <v>25</v>
      </c>
    </row>
    <row r="3912" spans="1:5">
      <c r="A3912" t="s">
        <v>114</v>
      </c>
      <c r="B3912" t="s">
        <v>100</v>
      </c>
      <c r="C3912" s="5">
        <v>45461</v>
      </c>
      <c r="D3912">
        <v>212</v>
      </c>
      <c r="E3912">
        <f>WEEKNUM(Append321[[#This Row],[Date]])</f>
        <v>25</v>
      </c>
    </row>
    <row r="3913" spans="1:5">
      <c r="A3913" t="s">
        <v>114</v>
      </c>
      <c r="B3913" t="s">
        <v>100</v>
      </c>
      <c r="C3913" s="5">
        <v>45462</v>
      </c>
      <c r="D3913">
        <v>238</v>
      </c>
      <c r="E3913">
        <f>WEEKNUM(Append321[[#This Row],[Date]])</f>
        <v>25</v>
      </c>
    </row>
    <row r="3914" spans="1:5">
      <c r="A3914" t="s">
        <v>114</v>
      </c>
      <c r="B3914" t="s">
        <v>100</v>
      </c>
      <c r="C3914" s="5">
        <v>45463</v>
      </c>
      <c r="D3914">
        <v>197</v>
      </c>
      <c r="E3914">
        <f>WEEKNUM(Append321[[#This Row],[Date]])</f>
        <v>25</v>
      </c>
    </row>
    <row r="3915" spans="1:5">
      <c r="A3915" t="s">
        <v>114</v>
      </c>
      <c r="B3915" t="s">
        <v>100</v>
      </c>
      <c r="C3915" s="5">
        <v>45464</v>
      </c>
      <c r="D3915">
        <v>278</v>
      </c>
      <c r="E3915">
        <f>WEEKNUM(Append321[[#This Row],[Date]])</f>
        <v>25</v>
      </c>
    </row>
    <row r="3916" spans="1:5">
      <c r="A3916" t="s">
        <v>114</v>
      </c>
      <c r="B3916" t="s">
        <v>100</v>
      </c>
      <c r="C3916" s="5">
        <v>45465</v>
      </c>
      <c r="D3916">
        <v>291</v>
      </c>
      <c r="E3916">
        <f>WEEKNUM(Append321[[#This Row],[Date]])</f>
        <v>25</v>
      </c>
    </row>
    <row r="3917" spans="1:5">
      <c r="A3917" t="s">
        <v>114</v>
      </c>
      <c r="B3917" t="s">
        <v>100</v>
      </c>
      <c r="C3917" s="5">
        <v>45480</v>
      </c>
      <c r="D3917">
        <v>171</v>
      </c>
      <c r="E3917">
        <f>WEEKNUM(Append321[[#This Row],[Date]])</f>
        <v>28</v>
      </c>
    </row>
    <row r="3918" spans="1:5">
      <c r="A3918" t="s">
        <v>114</v>
      </c>
      <c r="B3918" t="s">
        <v>100</v>
      </c>
      <c r="C3918" s="5">
        <v>45481</v>
      </c>
      <c r="D3918">
        <v>164</v>
      </c>
      <c r="E3918">
        <f>WEEKNUM(Append321[[#This Row],[Date]])</f>
        <v>28</v>
      </c>
    </row>
    <row r="3919" spans="1:5">
      <c r="A3919" t="s">
        <v>114</v>
      </c>
      <c r="B3919" t="s">
        <v>100</v>
      </c>
      <c r="C3919" s="5">
        <v>45482</v>
      </c>
      <c r="D3919">
        <v>212</v>
      </c>
      <c r="E3919">
        <f>WEEKNUM(Append321[[#This Row],[Date]])</f>
        <v>28</v>
      </c>
    </row>
    <row r="3920" spans="1:5">
      <c r="A3920" t="s">
        <v>114</v>
      </c>
      <c r="B3920" t="s">
        <v>100</v>
      </c>
      <c r="C3920" s="5">
        <v>45483</v>
      </c>
      <c r="D3920">
        <v>238</v>
      </c>
      <c r="E3920">
        <f>WEEKNUM(Append321[[#This Row],[Date]])</f>
        <v>28</v>
      </c>
    </row>
    <row r="3921" spans="1:5">
      <c r="A3921" t="s">
        <v>114</v>
      </c>
      <c r="B3921" t="s">
        <v>100</v>
      </c>
      <c r="C3921" s="5">
        <v>45484</v>
      </c>
      <c r="D3921">
        <v>197</v>
      </c>
      <c r="E3921">
        <f>WEEKNUM(Append321[[#This Row],[Date]])</f>
        <v>28</v>
      </c>
    </row>
    <row r="3922" spans="1:5">
      <c r="A3922" t="s">
        <v>114</v>
      </c>
      <c r="B3922" t="s">
        <v>100</v>
      </c>
      <c r="C3922" s="5">
        <v>45485</v>
      </c>
      <c r="D3922">
        <v>278</v>
      </c>
      <c r="E3922">
        <f>WEEKNUM(Append321[[#This Row],[Date]])</f>
        <v>28</v>
      </c>
    </row>
    <row r="3923" spans="1:5">
      <c r="A3923" t="s">
        <v>114</v>
      </c>
      <c r="B3923" t="s">
        <v>100</v>
      </c>
      <c r="C3923" s="5">
        <v>45486</v>
      </c>
      <c r="D3923">
        <v>291</v>
      </c>
      <c r="E3923">
        <f>WEEKNUM(Append321[[#This Row],[Date]])</f>
        <v>28</v>
      </c>
    </row>
    <row r="3924" spans="1:5">
      <c r="A3924" t="s">
        <v>114</v>
      </c>
      <c r="B3924" t="s">
        <v>100</v>
      </c>
      <c r="C3924" s="5">
        <v>45495</v>
      </c>
      <c r="D3924">
        <v>171</v>
      </c>
      <c r="E3924">
        <f>WEEKNUM(Append321[[#This Row],[Date]])</f>
        <v>30</v>
      </c>
    </row>
    <row r="3925" spans="1:5">
      <c r="A3925" t="s">
        <v>114</v>
      </c>
      <c r="B3925" t="s">
        <v>100</v>
      </c>
      <c r="C3925" s="5">
        <v>45496</v>
      </c>
      <c r="D3925">
        <v>164</v>
      </c>
      <c r="E3925">
        <f>WEEKNUM(Append321[[#This Row],[Date]])</f>
        <v>30</v>
      </c>
    </row>
    <row r="3926" spans="1:5">
      <c r="A3926" t="s">
        <v>114</v>
      </c>
      <c r="B3926" t="s">
        <v>100</v>
      </c>
      <c r="C3926" s="5">
        <v>45497</v>
      </c>
      <c r="D3926">
        <v>212</v>
      </c>
      <c r="E3926">
        <f>WEEKNUM(Append321[[#This Row],[Date]])</f>
        <v>30</v>
      </c>
    </row>
    <row r="3927" spans="1:5">
      <c r="A3927" t="s">
        <v>114</v>
      </c>
      <c r="B3927" t="s">
        <v>100</v>
      </c>
      <c r="C3927" s="5">
        <v>45498</v>
      </c>
      <c r="D3927">
        <v>238</v>
      </c>
      <c r="E3927">
        <f>WEEKNUM(Append321[[#This Row],[Date]])</f>
        <v>30</v>
      </c>
    </row>
    <row r="3928" spans="1:5">
      <c r="A3928" t="s">
        <v>114</v>
      </c>
      <c r="B3928" t="s">
        <v>100</v>
      </c>
      <c r="C3928" s="5">
        <v>45499</v>
      </c>
      <c r="D3928">
        <v>197</v>
      </c>
      <c r="E3928">
        <f>WEEKNUM(Append321[[#This Row],[Date]])</f>
        <v>30</v>
      </c>
    </row>
    <row r="3929" spans="1:5">
      <c r="A3929" t="s">
        <v>114</v>
      </c>
      <c r="B3929" t="s">
        <v>100</v>
      </c>
      <c r="C3929" s="5">
        <v>45500</v>
      </c>
      <c r="D3929">
        <v>278</v>
      </c>
      <c r="E3929">
        <f>WEEKNUM(Append321[[#This Row],[Date]])</f>
        <v>30</v>
      </c>
    </row>
    <row r="3930" spans="1:5">
      <c r="A3930" t="s">
        <v>114</v>
      </c>
      <c r="B3930" t="s">
        <v>100</v>
      </c>
      <c r="C3930" s="5">
        <v>45501</v>
      </c>
      <c r="D3930">
        <v>291</v>
      </c>
      <c r="E3930">
        <f>WEEKNUM(Append321[[#This Row],[Date]])</f>
        <v>31</v>
      </c>
    </row>
    <row r="3931" spans="1:5">
      <c r="A3931" t="s">
        <v>114</v>
      </c>
      <c r="B3931" t="s">
        <v>100</v>
      </c>
      <c r="C3931" s="5">
        <v>45527</v>
      </c>
      <c r="D3931">
        <v>71</v>
      </c>
      <c r="E3931">
        <f>WEEKNUM(Append321[[#This Row],[Date]])</f>
        <v>34</v>
      </c>
    </row>
    <row r="3932" spans="1:5">
      <c r="A3932" t="s">
        <v>114</v>
      </c>
      <c r="B3932" t="s">
        <v>100</v>
      </c>
      <c r="C3932" s="5">
        <v>45528</v>
      </c>
      <c r="D3932">
        <v>71</v>
      </c>
      <c r="E3932">
        <f>WEEKNUM(Append321[[#This Row],[Date]])</f>
        <v>34</v>
      </c>
    </row>
    <row r="3933" spans="1:5">
      <c r="A3933" t="s">
        <v>114</v>
      </c>
      <c r="B3933" t="s">
        <v>100</v>
      </c>
      <c r="C3933" s="5">
        <v>45529</v>
      </c>
      <c r="D3933">
        <v>56</v>
      </c>
      <c r="E3933">
        <f>WEEKNUM(Append321[[#This Row],[Date]])</f>
        <v>35</v>
      </c>
    </row>
    <row r="3934" spans="1:5">
      <c r="A3934" t="s">
        <v>114</v>
      </c>
      <c r="B3934" t="s">
        <v>100</v>
      </c>
      <c r="C3934" s="5">
        <v>45530</v>
      </c>
      <c r="D3934">
        <v>53</v>
      </c>
      <c r="E3934">
        <f>WEEKNUM(Append321[[#This Row],[Date]])</f>
        <v>35</v>
      </c>
    </row>
    <row r="3935" spans="1:5">
      <c r="A3935" t="s">
        <v>114</v>
      </c>
      <c r="B3935" t="s">
        <v>100</v>
      </c>
      <c r="C3935" s="5">
        <v>45531</v>
      </c>
      <c r="D3935">
        <v>66</v>
      </c>
      <c r="E3935">
        <f>WEEKNUM(Append321[[#This Row],[Date]])</f>
        <v>35</v>
      </c>
    </row>
    <row r="3936" spans="1:5">
      <c r="A3936" t="s">
        <v>114</v>
      </c>
      <c r="B3936" t="s">
        <v>100</v>
      </c>
      <c r="C3936" s="5">
        <v>45532</v>
      </c>
      <c r="D3936">
        <v>69</v>
      </c>
      <c r="E3936">
        <f>WEEKNUM(Append321[[#This Row],[Date]])</f>
        <v>35</v>
      </c>
    </row>
    <row r="3937" spans="1:5">
      <c r="A3937" t="s">
        <v>114</v>
      </c>
      <c r="B3937" t="s">
        <v>100</v>
      </c>
      <c r="C3937" s="5">
        <v>45533</v>
      </c>
      <c r="D3937">
        <v>63</v>
      </c>
      <c r="E3937">
        <f>WEEKNUM(Append321[[#This Row],[Date]])</f>
        <v>35</v>
      </c>
    </row>
    <row r="3938" spans="1:5">
      <c r="A3938" t="s">
        <v>114</v>
      </c>
      <c r="B3938" t="s">
        <v>100</v>
      </c>
      <c r="C3938" s="5">
        <v>45534</v>
      </c>
      <c r="D3938">
        <v>72</v>
      </c>
      <c r="E3938">
        <f>WEEKNUM(Append321[[#This Row],[Date]])</f>
        <v>35</v>
      </c>
    </row>
    <row r="3939" spans="1:5">
      <c r="A3939" t="s">
        <v>114</v>
      </c>
      <c r="B3939" t="s">
        <v>100</v>
      </c>
      <c r="C3939" s="5">
        <v>45535</v>
      </c>
      <c r="D3939">
        <v>57</v>
      </c>
      <c r="E3939">
        <f>WEEKNUM(Append321[[#This Row],[Date]])</f>
        <v>35</v>
      </c>
    </row>
    <row r="3940" spans="1:5">
      <c r="A3940" t="s">
        <v>114</v>
      </c>
      <c r="B3940" t="s">
        <v>101</v>
      </c>
      <c r="C3940" s="5">
        <v>45459</v>
      </c>
      <c r="D3940">
        <v>120</v>
      </c>
      <c r="E3940">
        <f>WEEKNUM(Append321[[#This Row],[Date]])</f>
        <v>25</v>
      </c>
    </row>
    <row r="3941" spans="1:5">
      <c r="A3941" t="s">
        <v>114</v>
      </c>
      <c r="B3941" t="s">
        <v>101</v>
      </c>
      <c r="C3941" s="5">
        <v>45460</v>
      </c>
      <c r="D3941">
        <v>141</v>
      </c>
      <c r="E3941">
        <f>WEEKNUM(Append321[[#This Row],[Date]])</f>
        <v>25</v>
      </c>
    </row>
    <row r="3942" spans="1:5">
      <c r="A3942" t="s">
        <v>114</v>
      </c>
      <c r="B3942" t="s">
        <v>101</v>
      </c>
      <c r="C3942" s="5">
        <v>45461</v>
      </c>
      <c r="D3942">
        <v>158</v>
      </c>
      <c r="E3942">
        <f>WEEKNUM(Append321[[#This Row],[Date]])</f>
        <v>25</v>
      </c>
    </row>
    <row r="3943" spans="1:5">
      <c r="A3943" t="s">
        <v>114</v>
      </c>
      <c r="B3943" t="s">
        <v>101</v>
      </c>
      <c r="C3943" s="5">
        <v>45462</v>
      </c>
      <c r="D3943">
        <v>134</v>
      </c>
      <c r="E3943">
        <f>WEEKNUM(Append321[[#This Row],[Date]])</f>
        <v>25</v>
      </c>
    </row>
    <row r="3944" spans="1:5">
      <c r="A3944" t="s">
        <v>114</v>
      </c>
      <c r="B3944" t="s">
        <v>101</v>
      </c>
      <c r="C3944" s="5">
        <v>45463</v>
      </c>
      <c r="D3944">
        <v>144</v>
      </c>
      <c r="E3944">
        <f>WEEKNUM(Append321[[#This Row],[Date]])</f>
        <v>25</v>
      </c>
    </row>
    <row r="3945" spans="1:5">
      <c r="A3945" t="s">
        <v>114</v>
      </c>
      <c r="B3945" t="s">
        <v>101</v>
      </c>
      <c r="C3945" s="5">
        <v>45464</v>
      </c>
      <c r="D3945">
        <v>183</v>
      </c>
      <c r="E3945">
        <f>WEEKNUM(Append321[[#This Row],[Date]])</f>
        <v>25</v>
      </c>
    </row>
    <row r="3946" spans="1:5">
      <c r="A3946" t="s">
        <v>114</v>
      </c>
      <c r="B3946" t="s">
        <v>101</v>
      </c>
      <c r="C3946" s="5">
        <v>45465</v>
      </c>
      <c r="D3946">
        <v>156</v>
      </c>
      <c r="E3946">
        <f>WEEKNUM(Append321[[#This Row],[Date]])</f>
        <v>25</v>
      </c>
    </row>
    <row r="3947" spans="1:5">
      <c r="A3947" t="s">
        <v>114</v>
      </c>
      <c r="B3947" t="s">
        <v>101</v>
      </c>
      <c r="C3947" s="5">
        <v>45480</v>
      </c>
      <c r="D3947">
        <v>120</v>
      </c>
      <c r="E3947">
        <f>WEEKNUM(Append321[[#This Row],[Date]])</f>
        <v>28</v>
      </c>
    </row>
    <row r="3948" spans="1:5">
      <c r="A3948" t="s">
        <v>114</v>
      </c>
      <c r="B3948" t="s">
        <v>101</v>
      </c>
      <c r="C3948" s="5">
        <v>45481</v>
      </c>
      <c r="D3948">
        <v>141</v>
      </c>
      <c r="E3948">
        <f>WEEKNUM(Append321[[#This Row],[Date]])</f>
        <v>28</v>
      </c>
    </row>
    <row r="3949" spans="1:5">
      <c r="A3949" t="s">
        <v>114</v>
      </c>
      <c r="B3949" t="s">
        <v>101</v>
      </c>
      <c r="C3949" s="5">
        <v>45482</v>
      </c>
      <c r="D3949">
        <v>158</v>
      </c>
      <c r="E3949">
        <f>WEEKNUM(Append321[[#This Row],[Date]])</f>
        <v>28</v>
      </c>
    </row>
    <row r="3950" spans="1:5">
      <c r="A3950" t="s">
        <v>114</v>
      </c>
      <c r="B3950" t="s">
        <v>101</v>
      </c>
      <c r="C3950" s="5">
        <v>45483</v>
      </c>
      <c r="D3950">
        <v>134</v>
      </c>
      <c r="E3950">
        <f>WEEKNUM(Append321[[#This Row],[Date]])</f>
        <v>28</v>
      </c>
    </row>
    <row r="3951" spans="1:5">
      <c r="A3951" t="s">
        <v>114</v>
      </c>
      <c r="B3951" t="s">
        <v>101</v>
      </c>
      <c r="C3951" s="5">
        <v>45484</v>
      </c>
      <c r="D3951">
        <v>144</v>
      </c>
      <c r="E3951">
        <f>WEEKNUM(Append321[[#This Row],[Date]])</f>
        <v>28</v>
      </c>
    </row>
    <row r="3952" spans="1:5">
      <c r="A3952" t="s">
        <v>114</v>
      </c>
      <c r="B3952" t="s">
        <v>101</v>
      </c>
      <c r="C3952" s="5">
        <v>45485</v>
      </c>
      <c r="D3952">
        <v>183</v>
      </c>
      <c r="E3952">
        <f>WEEKNUM(Append321[[#This Row],[Date]])</f>
        <v>28</v>
      </c>
    </row>
    <row r="3953" spans="1:5">
      <c r="A3953" t="s">
        <v>114</v>
      </c>
      <c r="B3953" t="s">
        <v>101</v>
      </c>
      <c r="C3953" s="5">
        <v>45486</v>
      </c>
      <c r="D3953">
        <v>156</v>
      </c>
      <c r="E3953">
        <f>WEEKNUM(Append321[[#This Row],[Date]])</f>
        <v>28</v>
      </c>
    </row>
    <row r="3954" spans="1:5">
      <c r="A3954" t="s">
        <v>114</v>
      </c>
      <c r="B3954" t="s">
        <v>101</v>
      </c>
      <c r="C3954" s="5">
        <v>45495</v>
      </c>
      <c r="D3954">
        <v>120</v>
      </c>
      <c r="E3954">
        <f>WEEKNUM(Append321[[#This Row],[Date]])</f>
        <v>30</v>
      </c>
    </row>
    <row r="3955" spans="1:5">
      <c r="A3955" t="s">
        <v>114</v>
      </c>
      <c r="B3955" t="s">
        <v>101</v>
      </c>
      <c r="C3955" s="5">
        <v>45496</v>
      </c>
      <c r="D3955">
        <v>141</v>
      </c>
      <c r="E3955">
        <f>WEEKNUM(Append321[[#This Row],[Date]])</f>
        <v>30</v>
      </c>
    </row>
    <row r="3956" spans="1:5">
      <c r="A3956" t="s">
        <v>114</v>
      </c>
      <c r="B3956" t="s">
        <v>101</v>
      </c>
      <c r="C3956" s="5">
        <v>45497</v>
      </c>
      <c r="D3956">
        <v>158</v>
      </c>
      <c r="E3956">
        <f>WEEKNUM(Append321[[#This Row],[Date]])</f>
        <v>30</v>
      </c>
    </row>
    <row r="3957" spans="1:5">
      <c r="A3957" t="s">
        <v>114</v>
      </c>
      <c r="B3957" t="s">
        <v>101</v>
      </c>
      <c r="C3957" s="5">
        <v>45498</v>
      </c>
      <c r="D3957">
        <v>134</v>
      </c>
      <c r="E3957">
        <f>WEEKNUM(Append321[[#This Row],[Date]])</f>
        <v>30</v>
      </c>
    </row>
    <row r="3958" spans="1:5">
      <c r="A3958" t="s">
        <v>114</v>
      </c>
      <c r="B3958" t="s">
        <v>101</v>
      </c>
      <c r="C3958" s="5">
        <v>45499</v>
      </c>
      <c r="D3958">
        <v>144</v>
      </c>
      <c r="E3958">
        <f>WEEKNUM(Append321[[#This Row],[Date]])</f>
        <v>30</v>
      </c>
    </row>
    <row r="3959" spans="1:5">
      <c r="A3959" t="s">
        <v>114</v>
      </c>
      <c r="B3959" t="s">
        <v>101</v>
      </c>
      <c r="C3959" s="5">
        <v>45500</v>
      </c>
      <c r="D3959">
        <v>183</v>
      </c>
      <c r="E3959">
        <f>WEEKNUM(Append321[[#This Row],[Date]])</f>
        <v>30</v>
      </c>
    </row>
    <row r="3960" spans="1:5">
      <c r="A3960" t="s">
        <v>114</v>
      </c>
      <c r="B3960" t="s">
        <v>101</v>
      </c>
      <c r="C3960" s="5">
        <v>45501</v>
      </c>
      <c r="D3960">
        <v>156</v>
      </c>
      <c r="E3960">
        <f>WEEKNUM(Append321[[#This Row],[Date]])</f>
        <v>31</v>
      </c>
    </row>
    <row r="3961" spans="1:5">
      <c r="A3961" t="s">
        <v>114</v>
      </c>
      <c r="B3961" t="s">
        <v>101</v>
      </c>
      <c r="C3961" s="5">
        <v>45527</v>
      </c>
      <c r="D3961">
        <v>46</v>
      </c>
      <c r="E3961">
        <f>WEEKNUM(Append321[[#This Row],[Date]])</f>
        <v>34</v>
      </c>
    </row>
    <row r="3962" spans="1:5">
      <c r="A3962" t="s">
        <v>114</v>
      </c>
      <c r="B3962" t="s">
        <v>101</v>
      </c>
      <c r="C3962" s="5">
        <v>45528</v>
      </c>
      <c r="D3962">
        <v>47</v>
      </c>
      <c r="E3962">
        <f>WEEKNUM(Append321[[#This Row],[Date]])</f>
        <v>34</v>
      </c>
    </row>
    <row r="3963" spans="1:5">
      <c r="A3963" t="s">
        <v>114</v>
      </c>
      <c r="B3963" t="s">
        <v>101</v>
      </c>
      <c r="C3963" s="5">
        <v>45529</v>
      </c>
      <c r="D3963">
        <v>31</v>
      </c>
      <c r="E3963">
        <f>WEEKNUM(Append321[[#This Row],[Date]])</f>
        <v>35</v>
      </c>
    </row>
    <row r="3964" spans="1:5">
      <c r="A3964" t="s">
        <v>114</v>
      </c>
      <c r="B3964" t="s">
        <v>101</v>
      </c>
      <c r="C3964" s="5">
        <v>45530</v>
      </c>
      <c r="D3964">
        <v>37</v>
      </c>
      <c r="E3964">
        <f>WEEKNUM(Append321[[#This Row],[Date]])</f>
        <v>35</v>
      </c>
    </row>
    <row r="3965" spans="1:5">
      <c r="A3965" t="s">
        <v>114</v>
      </c>
      <c r="B3965" t="s">
        <v>101</v>
      </c>
      <c r="C3965" s="5">
        <v>45531</v>
      </c>
      <c r="D3965">
        <v>40</v>
      </c>
      <c r="E3965">
        <f>WEEKNUM(Append321[[#This Row],[Date]])</f>
        <v>35</v>
      </c>
    </row>
    <row r="3966" spans="1:5">
      <c r="A3966" t="s">
        <v>114</v>
      </c>
      <c r="B3966" t="s">
        <v>101</v>
      </c>
      <c r="C3966" s="5">
        <v>45532</v>
      </c>
      <c r="D3966">
        <v>21</v>
      </c>
      <c r="E3966">
        <f>WEEKNUM(Append321[[#This Row],[Date]])</f>
        <v>35</v>
      </c>
    </row>
    <row r="3967" spans="1:5">
      <c r="A3967" t="s">
        <v>114</v>
      </c>
      <c r="B3967" t="s">
        <v>101</v>
      </c>
      <c r="C3967" s="5">
        <v>45533</v>
      </c>
      <c r="D3967">
        <v>22</v>
      </c>
      <c r="E3967">
        <f>WEEKNUM(Append321[[#This Row],[Date]])</f>
        <v>35</v>
      </c>
    </row>
    <row r="3968" spans="1:5">
      <c r="A3968" t="s">
        <v>114</v>
      </c>
      <c r="B3968" t="s">
        <v>101</v>
      </c>
      <c r="C3968" s="5">
        <v>45534</v>
      </c>
      <c r="D3968">
        <v>44</v>
      </c>
      <c r="E3968">
        <f>WEEKNUM(Append321[[#This Row],[Date]])</f>
        <v>35</v>
      </c>
    </row>
    <row r="3969" spans="1:5">
      <c r="A3969" t="s">
        <v>114</v>
      </c>
      <c r="B3969" t="s">
        <v>101</v>
      </c>
      <c r="C3969" s="5">
        <v>45535</v>
      </c>
      <c r="D3969">
        <v>37</v>
      </c>
      <c r="E3969">
        <f>WEEKNUM(Append321[[#This Row],[Date]])</f>
        <v>35</v>
      </c>
    </row>
    <row r="3970" spans="1:5">
      <c r="A3970" t="s">
        <v>114</v>
      </c>
      <c r="B3970" t="s">
        <v>102</v>
      </c>
      <c r="C3970" s="5">
        <v>45459</v>
      </c>
      <c r="D3970">
        <v>148</v>
      </c>
      <c r="E3970">
        <f>WEEKNUM(Append321[[#This Row],[Date]])</f>
        <v>25</v>
      </c>
    </row>
    <row r="3971" spans="1:5">
      <c r="A3971" t="s">
        <v>114</v>
      </c>
      <c r="B3971" t="s">
        <v>102</v>
      </c>
      <c r="C3971" s="5">
        <v>45460</v>
      </c>
      <c r="D3971">
        <v>171</v>
      </c>
      <c r="E3971">
        <f>WEEKNUM(Append321[[#This Row],[Date]])</f>
        <v>25</v>
      </c>
    </row>
    <row r="3972" spans="1:5">
      <c r="A3972" t="s">
        <v>114</v>
      </c>
      <c r="B3972" t="s">
        <v>102</v>
      </c>
      <c r="C3972" s="5">
        <v>45461</v>
      </c>
      <c r="D3972">
        <v>175</v>
      </c>
      <c r="E3972">
        <f>WEEKNUM(Append321[[#This Row],[Date]])</f>
        <v>25</v>
      </c>
    </row>
    <row r="3973" spans="1:5">
      <c r="A3973" t="s">
        <v>114</v>
      </c>
      <c r="B3973" t="s">
        <v>102</v>
      </c>
      <c r="C3973" s="5">
        <v>45462</v>
      </c>
      <c r="D3973">
        <v>174</v>
      </c>
      <c r="E3973">
        <f>WEEKNUM(Append321[[#This Row],[Date]])</f>
        <v>25</v>
      </c>
    </row>
    <row r="3974" spans="1:5">
      <c r="A3974" t="s">
        <v>114</v>
      </c>
      <c r="B3974" t="s">
        <v>102</v>
      </c>
      <c r="C3974" s="5">
        <v>45463</v>
      </c>
      <c r="D3974">
        <v>171</v>
      </c>
      <c r="E3974">
        <f>WEEKNUM(Append321[[#This Row],[Date]])</f>
        <v>25</v>
      </c>
    </row>
    <row r="3975" spans="1:5">
      <c r="A3975" t="s">
        <v>114</v>
      </c>
      <c r="B3975" t="s">
        <v>102</v>
      </c>
      <c r="C3975" s="5">
        <v>45464</v>
      </c>
      <c r="D3975">
        <v>181</v>
      </c>
      <c r="E3975">
        <f>WEEKNUM(Append321[[#This Row],[Date]])</f>
        <v>25</v>
      </c>
    </row>
    <row r="3976" spans="1:5">
      <c r="A3976" t="s">
        <v>114</v>
      </c>
      <c r="B3976" t="s">
        <v>102</v>
      </c>
      <c r="C3976" s="5">
        <v>45465</v>
      </c>
      <c r="D3976">
        <v>230</v>
      </c>
      <c r="E3976">
        <f>WEEKNUM(Append321[[#This Row],[Date]])</f>
        <v>25</v>
      </c>
    </row>
    <row r="3977" spans="1:5">
      <c r="A3977" t="s">
        <v>114</v>
      </c>
      <c r="B3977" t="s">
        <v>102</v>
      </c>
      <c r="C3977" s="5">
        <v>45480</v>
      </c>
      <c r="D3977">
        <v>148</v>
      </c>
      <c r="E3977">
        <f>WEEKNUM(Append321[[#This Row],[Date]])</f>
        <v>28</v>
      </c>
    </row>
    <row r="3978" spans="1:5">
      <c r="A3978" t="s">
        <v>114</v>
      </c>
      <c r="B3978" t="s">
        <v>102</v>
      </c>
      <c r="C3978" s="5">
        <v>45481</v>
      </c>
      <c r="D3978">
        <v>171</v>
      </c>
      <c r="E3978">
        <f>WEEKNUM(Append321[[#This Row],[Date]])</f>
        <v>28</v>
      </c>
    </row>
    <row r="3979" spans="1:5">
      <c r="A3979" t="s">
        <v>114</v>
      </c>
      <c r="B3979" t="s">
        <v>102</v>
      </c>
      <c r="C3979" s="5">
        <v>45482</v>
      </c>
      <c r="D3979">
        <v>175</v>
      </c>
      <c r="E3979">
        <f>WEEKNUM(Append321[[#This Row],[Date]])</f>
        <v>28</v>
      </c>
    </row>
    <row r="3980" spans="1:5">
      <c r="A3980" t="s">
        <v>114</v>
      </c>
      <c r="B3980" t="s">
        <v>102</v>
      </c>
      <c r="C3980" s="5">
        <v>45483</v>
      </c>
      <c r="D3980">
        <v>174</v>
      </c>
      <c r="E3980">
        <f>WEEKNUM(Append321[[#This Row],[Date]])</f>
        <v>28</v>
      </c>
    </row>
    <row r="3981" spans="1:5">
      <c r="A3981" t="s">
        <v>114</v>
      </c>
      <c r="B3981" t="s">
        <v>102</v>
      </c>
      <c r="C3981" s="5">
        <v>45484</v>
      </c>
      <c r="D3981">
        <v>171</v>
      </c>
      <c r="E3981">
        <f>WEEKNUM(Append321[[#This Row],[Date]])</f>
        <v>28</v>
      </c>
    </row>
    <row r="3982" spans="1:5">
      <c r="A3982" t="s">
        <v>114</v>
      </c>
      <c r="B3982" t="s">
        <v>102</v>
      </c>
      <c r="C3982" s="5">
        <v>45485</v>
      </c>
      <c r="D3982">
        <v>181</v>
      </c>
      <c r="E3982">
        <f>WEEKNUM(Append321[[#This Row],[Date]])</f>
        <v>28</v>
      </c>
    </row>
    <row r="3983" spans="1:5">
      <c r="A3983" t="s">
        <v>114</v>
      </c>
      <c r="B3983" t="s">
        <v>102</v>
      </c>
      <c r="C3983" s="5">
        <v>45486</v>
      </c>
      <c r="D3983">
        <v>230</v>
      </c>
      <c r="E3983">
        <f>WEEKNUM(Append321[[#This Row],[Date]])</f>
        <v>28</v>
      </c>
    </row>
    <row r="3984" spans="1:5">
      <c r="A3984" t="s">
        <v>114</v>
      </c>
      <c r="B3984" t="s">
        <v>102</v>
      </c>
      <c r="C3984" s="5">
        <v>45495</v>
      </c>
      <c r="D3984">
        <v>148</v>
      </c>
      <c r="E3984">
        <f>WEEKNUM(Append321[[#This Row],[Date]])</f>
        <v>30</v>
      </c>
    </row>
    <row r="3985" spans="1:5">
      <c r="A3985" t="s">
        <v>114</v>
      </c>
      <c r="B3985" t="s">
        <v>102</v>
      </c>
      <c r="C3985" s="5">
        <v>45496</v>
      </c>
      <c r="D3985">
        <v>171</v>
      </c>
      <c r="E3985">
        <f>WEEKNUM(Append321[[#This Row],[Date]])</f>
        <v>30</v>
      </c>
    </row>
    <row r="3986" spans="1:5">
      <c r="A3986" t="s">
        <v>114</v>
      </c>
      <c r="B3986" t="s">
        <v>102</v>
      </c>
      <c r="C3986" s="5">
        <v>45497</v>
      </c>
      <c r="D3986">
        <v>175</v>
      </c>
      <c r="E3986">
        <f>WEEKNUM(Append321[[#This Row],[Date]])</f>
        <v>30</v>
      </c>
    </row>
    <row r="3987" spans="1:5">
      <c r="A3987" t="s">
        <v>114</v>
      </c>
      <c r="B3987" t="s">
        <v>102</v>
      </c>
      <c r="C3987" s="5">
        <v>45498</v>
      </c>
      <c r="D3987">
        <v>174</v>
      </c>
      <c r="E3987">
        <f>WEEKNUM(Append321[[#This Row],[Date]])</f>
        <v>30</v>
      </c>
    </row>
    <row r="3988" spans="1:5">
      <c r="A3988" t="s">
        <v>114</v>
      </c>
      <c r="B3988" t="s">
        <v>102</v>
      </c>
      <c r="C3988" s="5">
        <v>45499</v>
      </c>
      <c r="D3988">
        <v>171</v>
      </c>
      <c r="E3988">
        <f>WEEKNUM(Append321[[#This Row],[Date]])</f>
        <v>30</v>
      </c>
    </row>
    <row r="3989" spans="1:5">
      <c r="A3989" t="s">
        <v>114</v>
      </c>
      <c r="B3989" t="s">
        <v>102</v>
      </c>
      <c r="C3989" s="5">
        <v>45500</v>
      </c>
      <c r="D3989">
        <v>181</v>
      </c>
      <c r="E3989">
        <f>WEEKNUM(Append321[[#This Row],[Date]])</f>
        <v>30</v>
      </c>
    </row>
    <row r="3990" spans="1:5">
      <c r="A3990" t="s">
        <v>114</v>
      </c>
      <c r="B3990" t="s">
        <v>102</v>
      </c>
      <c r="C3990" s="5">
        <v>45501</v>
      </c>
      <c r="D3990">
        <v>230</v>
      </c>
      <c r="E3990">
        <f>WEEKNUM(Append321[[#This Row],[Date]])</f>
        <v>31</v>
      </c>
    </row>
    <row r="3991" spans="1:5">
      <c r="A3991" t="s">
        <v>114</v>
      </c>
      <c r="B3991" t="s">
        <v>102</v>
      </c>
      <c r="C3991" s="5">
        <v>45527</v>
      </c>
      <c r="D3991">
        <v>215</v>
      </c>
      <c r="E3991">
        <f>WEEKNUM(Append321[[#This Row],[Date]])</f>
        <v>34</v>
      </c>
    </row>
    <row r="3992" spans="1:5">
      <c r="A3992" t="s">
        <v>114</v>
      </c>
      <c r="B3992" t="s">
        <v>102</v>
      </c>
      <c r="C3992" s="5">
        <v>45528</v>
      </c>
      <c r="D3992">
        <v>237</v>
      </c>
      <c r="E3992">
        <f>WEEKNUM(Append321[[#This Row],[Date]])</f>
        <v>34</v>
      </c>
    </row>
    <row r="3993" spans="1:5">
      <c r="A3993" t="s">
        <v>114</v>
      </c>
      <c r="B3993" t="s">
        <v>102</v>
      </c>
      <c r="C3993" s="5">
        <v>45529</v>
      </c>
      <c r="D3993">
        <v>189</v>
      </c>
      <c r="E3993">
        <f>WEEKNUM(Append321[[#This Row],[Date]])</f>
        <v>35</v>
      </c>
    </row>
    <row r="3994" spans="1:5">
      <c r="A3994" t="s">
        <v>114</v>
      </c>
      <c r="B3994" t="s">
        <v>102</v>
      </c>
      <c r="C3994" s="5">
        <v>45530</v>
      </c>
      <c r="D3994">
        <v>172</v>
      </c>
      <c r="E3994">
        <f>WEEKNUM(Append321[[#This Row],[Date]])</f>
        <v>35</v>
      </c>
    </row>
    <row r="3995" spans="1:5">
      <c r="A3995" t="s">
        <v>114</v>
      </c>
      <c r="B3995" t="s">
        <v>102</v>
      </c>
      <c r="C3995" s="5">
        <v>45531</v>
      </c>
      <c r="D3995">
        <v>203</v>
      </c>
      <c r="E3995">
        <f>WEEKNUM(Append321[[#This Row],[Date]])</f>
        <v>35</v>
      </c>
    </row>
    <row r="3996" spans="1:5">
      <c r="A3996" t="s">
        <v>114</v>
      </c>
      <c r="B3996" t="s">
        <v>102</v>
      </c>
      <c r="C3996" s="5">
        <v>45532</v>
      </c>
      <c r="D3996">
        <v>167</v>
      </c>
      <c r="E3996">
        <f>WEEKNUM(Append321[[#This Row],[Date]])</f>
        <v>35</v>
      </c>
    </row>
    <row r="3997" spans="1:5">
      <c r="A3997" t="s">
        <v>114</v>
      </c>
      <c r="B3997" t="s">
        <v>102</v>
      </c>
      <c r="C3997" s="5">
        <v>45533</v>
      </c>
      <c r="D3997">
        <v>185</v>
      </c>
      <c r="E3997">
        <f>WEEKNUM(Append321[[#This Row],[Date]])</f>
        <v>35</v>
      </c>
    </row>
    <row r="3998" spans="1:5">
      <c r="A3998" t="s">
        <v>114</v>
      </c>
      <c r="B3998" t="s">
        <v>102</v>
      </c>
      <c r="C3998" s="5">
        <v>45534</v>
      </c>
      <c r="D3998">
        <v>164</v>
      </c>
      <c r="E3998">
        <f>WEEKNUM(Append321[[#This Row],[Date]])</f>
        <v>35</v>
      </c>
    </row>
    <row r="3999" spans="1:5">
      <c r="A3999" t="s">
        <v>114</v>
      </c>
      <c r="B3999" t="s">
        <v>102</v>
      </c>
      <c r="C3999" s="5">
        <v>45535</v>
      </c>
      <c r="D3999">
        <v>177</v>
      </c>
      <c r="E3999">
        <f>WEEKNUM(Append321[[#This Row],[Date]])</f>
        <v>35</v>
      </c>
    </row>
    <row r="4000" spans="1:5">
      <c r="A4000" t="s">
        <v>114</v>
      </c>
      <c r="B4000" t="s">
        <v>103</v>
      </c>
      <c r="C4000" s="5">
        <v>45459</v>
      </c>
      <c r="D4000">
        <v>134</v>
      </c>
      <c r="E4000">
        <f>WEEKNUM(Append321[[#This Row],[Date]])</f>
        <v>25</v>
      </c>
    </row>
    <row r="4001" spans="1:5">
      <c r="A4001" t="s">
        <v>114</v>
      </c>
      <c r="B4001" t="s">
        <v>103</v>
      </c>
      <c r="C4001" s="5">
        <v>45460</v>
      </c>
      <c r="D4001">
        <v>148</v>
      </c>
      <c r="E4001">
        <f>WEEKNUM(Append321[[#This Row],[Date]])</f>
        <v>25</v>
      </c>
    </row>
    <row r="4002" spans="1:5">
      <c r="A4002" t="s">
        <v>114</v>
      </c>
      <c r="B4002" t="s">
        <v>103</v>
      </c>
      <c r="C4002" s="5">
        <v>45461</v>
      </c>
      <c r="D4002">
        <v>126</v>
      </c>
      <c r="E4002">
        <f>WEEKNUM(Append321[[#This Row],[Date]])</f>
        <v>25</v>
      </c>
    </row>
    <row r="4003" spans="1:5">
      <c r="A4003" t="s">
        <v>114</v>
      </c>
      <c r="B4003" t="s">
        <v>103</v>
      </c>
      <c r="C4003" s="5">
        <v>45462</v>
      </c>
      <c r="D4003">
        <v>130</v>
      </c>
      <c r="E4003">
        <f>WEEKNUM(Append321[[#This Row],[Date]])</f>
        <v>25</v>
      </c>
    </row>
    <row r="4004" spans="1:5">
      <c r="A4004" t="s">
        <v>114</v>
      </c>
      <c r="B4004" t="s">
        <v>103</v>
      </c>
      <c r="C4004" s="5">
        <v>45463</v>
      </c>
      <c r="D4004">
        <v>141</v>
      </c>
      <c r="E4004">
        <f>WEEKNUM(Append321[[#This Row],[Date]])</f>
        <v>25</v>
      </c>
    </row>
    <row r="4005" spans="1:5">
      <c r="A4005" t="s">
        <v>114</v>
      </c>
      <c r="B4005" t="s">
        <v>103</v>
      </c>
      <c r="C4005" s="5">
        <v>45464</v>
      </c>
      <c r="D4005">
        <v>155</v>
      </c>
      <c r="E4005">
        <f>WEEKNUM(Append321[[#This Row],[Date]])</f>
        <v>25</v>
      </c>
    </row>
    <row r="4006" spans="1:5">
      <c r="A4006" t="s">
        <v>114</v>
      </c>
      <c r="B4006" t="s">
        <v>103</v>
      </c>
      <c r="C4006" s="5">
        <v>45465</v>
      </c>
      <c r="D4006">
        <v>140</v>
      </c>
      <c r="E4006">
        <f>WEEKNUM(Append321[[#This Row],[Date]])</f>
        <v>25</v>
      </c>
    </row>
    <row r="4007" spans="1:5">
      <c r="A4007" t="s">
        <v>114</v>
      </c>
      <c r="B4007" t="s">
        <v>103</v>
      </c>
      <c r="C4007" s="5">
        <v>45480</v>
      </c>
      <c r="D4007">
        <v>134</v>
      </c>
      <c r="E4007">
        <f>WEEKNUM(Append321[[#This Row],[Date]])</f>
        <v>28</v>
      </c>
    </row>
    <row r="4008" spans="1:5">
      <c r="A4008" t="s">
        <v>114</v>
      </c>
      <c r="B4008" t="s">
        <v>103</v>
      </c>
      <c r="C4008" s="5">
        <v>45481</v>
      </c>
      <c r="D4008">
        <v>148</v>
      </c>
      <c r="E4008">
        <f>WEEKNUM(Append321[[#This Row],[Date]])</f>
        <v>28</v>
      </c>
    </row>
    <row r="4009" spans="1:5">
      <c r="A4009" t="s">
        <v>114</v>
      </c>
      <c r="B4009" t="s">
        <v>103</v>
      </c>
      <c r="C4009" s="5">
        <v>45482</v>
      </c>
      <c r="D4009">
        <v>126</v>
      </c>
      <c r="E4009">
        <f>WEEKNUM(Append321[[#This Row],[Date]])</f>
        <v>28</v>
      </c>
    </row>
    <row r="4010" spans="1:5">
      <c r="A4010" t="s">
        <v>114</v>
      </c>
      <c r="B4010" t="s">
        <v>103</v>
      </c>
      <c r="C4010" s="5">
        <v>45483</v>
      </c>
      <c r="D4010">
        <v>130</v>
      </c>
      <c r="E4010">
        <f>WEEKNUM(Append321[[#This Row],[Date]])</f>
        <v>28</v>
      </c>
    </row>
    <row r="4011" spans="1:5">
      <c r="A4011" t="s">
        <v>114</v>
      </c>
      <c r="B4011" t="s">
        <v>103</v>
      </c>
      <c r="C4011" s="5">
        <v>45484</v>
      </c>
      <c r="D4011">
        <v>141</v>
      </c>
      <c r="E4011">
        <f>WEEKNUM(Append321[[#This Row],[Date]])</f>
        <v>28</v>
      </c>
    </row>
    <row r="4012" spans="1:5">
      <c r="A4012" t="s">
        <v>114</v>
      </c>
      <c r="B4012" t="s">
        <v>103</v>
      </c>
      <c r="C4012" s="5">
        <v>45485</v>
      </c>
      <c r="D4012">
        <v>155</v>
      </c>
      <c r="E4012">
        <f>WEEKNUM(Append321[[#This Row],[Date]])</f>
        <v>28</v>
      </c>
    </row>
    <row r="4013" spans="1:5">
      <c r="A4013" t="s">
        <v>114</v>
      </c>
      <c r="B4013" t="s">
        <v>103</v>
      </c>
      <c r="C4013" s="5">
        <v>45486</v>
      </c>
      <c r="D4013">
        <v>140</v>
      </c>
      <c r="E4013">
        <f>WEEKNUM(Append321[[#This Row],[Date]])</f>
        <v>28</v>
      </c>
    </row>
    <row r="4014" spans="1:5">
      <c r="A4014" t="s">
        <v>114</v>
      </c>
      <c r="B4014" t="s">
        <v>103</v>
      </c>
      <c r="C4014" s="5">
        <v>45495</v>
      </c>
      <c r="D4014">
        <v>134</v>
      </c>
      <c r="E4014">
        <f>WEEKNUM(Append321[[#This Row],[Date]])</f>
        <v>30</v>
      </c>
    </row>
    <row r="4015" spans="1:5">
      <c r="A4015" t="s">
        <v>114</v>
      </c>
      <c r="B4015" t="s">
        <v>103</v>
      </c>
      <c r="C4015" s="5">
        <v>45496</v>
      </c>
      <c r="D4015">
        <v>148</v>
      </c>
      <c r="E4015">
        <f>WEEKNUM(Append321[[#This Row],[Date]])</f>
        <v>30</v>
      </c>
    </row>
    <row r="4016" spans="1:5">
      <c r="A4016" t="s">
        <v>114</v>
      </c>
      <c r="B4016" t="s">
        <v>103</v>
      </c>
      <c r="C4016" s="5">
        <v>45497</v>
      </c>
      <c r="D4016">
        <v>126</v>
      </c>
      <c r="E4016">
        <f>WEEKNUM(Append321[[#This Row],[Date]])</f>
        <v>30</v>
      </c>
    </row>
    <row r="4017" spans="1:5">
      <c r="A4017" t="s">
        <v>114</v>
      </c>
      <c r="B4017" t="s">
        <v>103</v>
      </c>
      <c r="C4017" s="5">
        <v>45498</v>
      </c>
      <c r="D4017">
        <v>130</v>
      </c>
      <c r="E4017">
        <f>WEEKNUM(Append321[[#This Row],[Date]])</f>
        <v>30</v>
      </c>
    </row>
    <row r="4018" spans="1:5">
      <c r="A4018" t="s">
        <v>114</v>
      </c>
      <c r="B4018" t="s">
        <v>103</v>
      </c>
      <c r="C4018" s="5">
        <v>45499</v>
      </c>
      <c r="D4018">
        <v>141</v>
      </c>
      <c r="E4018">
        <f>WEEKNUM(Append321[[#This Row],[Date]])</f>
        <v>30</v>
      </c>
    </row>
    <row r="4019" spans="1:5">
      <c r="A4019" t="s">
        <v>114</v>
      </c>
      <c r="B4019" t="s">
        <v>103</v>
      </c>
      <c r="C4019" s="5">
        <v>45500</v>
      </c>
      <c r="D4019">
        <v>155</v>
      </c>
      <c r="E4019">
        <f>WEEKNUM(Append321[[#This Row],[Date]])</f>
        <v>30</v>
      </c>
    </row>
    <row r="4020" spans="1:5">
      <c r="A4020" t="s">
        <v>114</v>
      </c>
      <c r="B4020" t="s">
        <v>103</v>
      </c>
      <c r="C4020" s="5">
        <v>45501</v>
      </c>
      <c r="D4020">
        <v>140</v>
      </c>
      <c r="E4020">
        <f>WEEKNUM(Append321[[#This Row],[Date]])</f>
        <v>31</v>
      </c>
    </row>
    <row r="4021" spans="1:5">
      <c r="A4021" t="s">
        <v>114</v>
      </c>
      <c r="B4021" t="s">
        <v>103</v>
      </c>
      <c r="C4021" s="5">
        <v>45527</v>
      </c>
      <c r="D4021">
        <v>22</v>
      </c>
      <c r="E4021">
        <f>WEEKNUM(Append321[[#This Row],[Date]])</f>
        <v>34</v>
      </c>
    </row>
    <row r="4022" spans="1:5">
      <c r="A4022" t="s">
        <v>114</v>
      </c>
      <c r="B4022" t="s">
        <v>103</v>
      </c>
      <c r="C4022" s="5">
        <v>45528</v>
      </c>
      <c r="D4022">
        <v>20</v>
      </c>
      <c r="E4022">
        <f>WEEKNUM(Append321[[#This Row],[Date]])</f>
        <v>34</v>
      </c>
    </row>
    <row r="4023" spans="1:5">
      <c r="A4023" t="s">
        <v>114</v>
      </c>
      <c r="B4023" t="s">
        <v>103</v>
      </c>
      <c r="C4023" s="5">
        <v>45529</v>
      </c>
      <c r="D4023">
        <v>19</v>
      </c>
      <c r="E4023">
        <f>WEEKNUM(Append321[[#This Row],[Date]])</f>
        <v>35</v>
      </c>
    </row>
    <row r="4024" spans="1:5">
      <c r="A4024" t="s">
        <v>114</v>
      </c>
      <c r="B4024" t="s">
        <v>103</v>
      </c>
      <c r="C4024" s="5">
        <v>45530</v>
      </c>
      <c r="D4024">
        <v>23</v>
      </c>
      <c r="E4024">
        <f>WEEKNUM(Append321[[#This Row],[Date]])</f>
        <v>35</v>
      </c>
    </row>
    <row r="4025" spans="1:5">
      <c r="A4025" t="s">
        <v>114</v>
      </c>
      <c r="B4025" t="s">
        <v>103</v>
      </c>
      <c r="C4025" s="5">
        <v>45531</v>
      </c>
      <c r="D4025">
        <v>19</v>
      </c>
      <c r="E4025">
        <f>WEEKNUM(Append321[[#This Row],[Date]])</f>
        <v>35</v>
      </c>
    </row>
    <row r="4026" spans="1:5">
      <c r="A4026" t="s">
        <v>114</v>
      </c>
      <c r="B4026" t="s">
        <v>103</v>
      </c>
      <c r="C4026" s="5">
        <v>45532</v>
      </c>
      <c r="D4026">
        <v>23</v>
      </c>
      <c r="E4026">
        <f>WEEKNUM(Append321[[#This Row],[Date]])</f>
        <v>35</v>
      </c>
    </row>
    <row r="4027" spans="1:5">
      <c r="A4027" t="s">
        <v>114</v>
      </c>
      <c r="B4027" t="s">
        <v>103</v>
      </c>
      <c r="C4027" s="5">
        <v>45533</v>
      </c>
      <c r="D4027">
        <v>18</v>
      </c>
      <c r="E4027">
        <f>WEEKNUM(Append321[[#This Row],[Date]])</f>
        <v>35</v>
      </c>
    </row>
    <row r="4028" spans="1:5">
      <c r="A4028" t="s">
        <v>114</v>
      </c>
      <c r="B4028" t="s">
        <v>103</v>
      </c>
      <c r="C4028" s="5">
        <v>45534</v>
      </c>
      <c r="D4028">
        <v>16</v>
      </c>
      <c r="E4028">
        <f>WEEKNUM(Append321[[#This Row],[Date]])</f>
        <v>35</v>
      </c>
    </row>
    <row r="4029" spans="1:5">
      <c r="A4029" t="s">
        <v>114</v>
      </c>
      <c r="B4029" t="s">
        <v>103</v>
      </c>
      <c r="C4029" s="5">
        <v>45535</v>
      </c>
      <c r="D4029">
        <v>23</v>
      </c>
      <c r="E4029">
        <f>WEEKNUM(Append321[[#This Row],[Date]])</f>
        <v>35</v>
      </c>
    </row>
    <row r="4030" spans="1:5">
      <c r="A4030" t="s">
        <v>114</v>
      </c>
      <c r="B4030" t="s">
        <v>104</v>
      </c>
      <c r="C4030" s="5">
        <v>45459</v>
      </c>
      <c r="D4030">
        <v>243</v>
      </c>
      <c r="E4030">
        <f>WEEKNUM(Append321[[#This Row],[Date]])</f>
        <v>25</v>
      </c>
    </row>
    <row r="4031" spans="1:5">
      <c r="A4031" t="s">
        <v>114</v>
      </c>
      <c r="B4031" t="s">
        <v>104</v>
      </c>
      <c r="C4031" s="5">
        <v>45460</v>
      </c>
      <c r="D4031">
        <v>210</v>
      </c>
      <c r="E4031">
        <f>WEEKNUM(Append321[[#This Row],[Date]])</f>
        <v>25</v>
      </c>
    </row>
    <row r="4032" spans="1:5">
      <c r="A4032" t="s">
        <v>114</v>
      </c>
      <c r="B4032" t="s">
        <v>104</v>
      </c>
      <c r="C4032" s="5">
        <v>45461</v>
      </c>
      <c r="D4032">
        <v>222</v>
      </c>
      <c r="E4032">
        <f>WEEKNUM(Append321[[#This Row],[Date]])</f>
        <v>25</v>
      </c>
    </row>
    <row r="4033" spans="1:5">
      <c r="A4033" t="s">
        <v>114</v>
      </c>
      <c r="B4033" t="s">
        <v>104</v>
      </c>
      <c r="C4033" s="5">
        <v>45462</v>
      </c>
      <c r="D4033">
        <v>186</v>
      </c>
      <c r="E4033">
        <f>WEEKNUM(Append321[[#This Row],[Date]])</f>
        <v>25</v>
      </c>
    </row>
    <row r="4034" spans="1:5">
      <c r="A4034" t="s">
        <v>114</v>
      </c>
      <c r="B4034" t="s">
        <v>104</v>
      </c>
      <c r="C4034" s="5">
        <v>45463</v>
      </c>
      <c r="D4034">
        <v>222</v>
      </c>
      <c r="E4034">
        <f>WEEKNUM(Append321[[#This Row],[Date]])</f>
        <v>25</v>
      </c>
    </row>
    <row r="4035" spans="1:5">
      <c r="A4035" t="s">
        <v>114</v>
      </c>
      <c r="B4035" t="s">
        <v>104</v>
      </c>
      <c r="C4035" s="5">
        <v>45464</v>
      </c>
      <c r="D4035">
        <v>229</v>
      </c>
      <c r="E4035">
        <f>WEEKNUM(Append321[[#This Row],[Date]])</f>
        <v>25</v>
      </c>
    </row>
    <row r="4036" spans="1:5">
      <c r="A4036" t="s">
        <v>114</v>
      </c>
      <c r="B4036" t="s">
        <v>104</v>
      </c>
      <c r="C4036" s="5">
        <v>45465</v>
      </c>
      <c r="D4036">
        <v>325</v>
      </c>
      <c r="E4036">
        <f>WEEKNUM(Append321[[#This Row],[Date]])</f>
        <v>25</v>
      </c>
    </row>
    <row r="4037" spans="1:5">
      <c r="A4037" t="s">
        <v>114</v>
      </c>
      <c r="B4037" t="s">
        <v>104</v>
      </c>
      <c r="C4037" s="5">
        <v>45480</v>
      </c>
      <c r="D4037">
        <v>243</v>
      </c>
      <c r="E4037">
        <f>WEEKNUM(Append321[[#This Row],[Date]])</f>
        <v>28</v>
      </c>
    </row>
    <row r="4038" spans="1:5">
      <c r="A4038" t="s">
        <v>114</v>
      </c>
      <c r="B4038" t="s">
        <v>104</v>
      </c>
      <c r="C4038" s="5">
        <v>45481</v>
      </c>
      <c r="D4038">
        <v>210</v>
      </c>
      <c r="E4038">
        <f>WEEKNUM(Append321[[#This Row],[Date]])</f>
        <v>28</v>
      </c>
    </row>
    <row r="4039" spans="1:5">
      <c r="A4039" t="s">
        <v>114</v>
      </c>
      <c r="B4039" t="s">
        <v>104</v>
      </c>
      <c r="C4039" s="5">
        <v>45482</v>
      </c>
      <c r="D4039">
        <v>222</v>
      </c>
      <c r="E4039">
        <f>WEEKNUM(Append321[[#This Row],[Date]])</f>
        <v>28</v>
      </c>
    </row>
    <row r="4040" spans="1:5">
      <c r="A4040" t="s">
        <v>114</v>
      </c>
      <c r="B4040" t="s">
        <v>104</v>
      </c>
      <c r="C4040" s="5">
        <v>45483</v>
      </c>
      <c r="D4040">
        <v>186</v>
      </c>
      <c r="E4040">
        <f>WEEKNUM(Append321[[#This Row],[Date]])</f>
        <v>28</v>
      </c>
    </row>
    <row r="4041" spans="1:5">
      <c r="A4041" t="s">
        <v>114</v>
      </c>
      <c r="B4041" t="s">
        <v>104</v>
      </c>
      <c r="C4041" s="5">
        <v>45484</v>
      </c>
      <c r="D4041">
        <v>222</v>
      </c>
      <c r="E4041">
        <f>WEEKNUM(Append321[[#This Row],[Date]])</f>
        <v>28</v>
      </c>
    </row>
    <row r="4042" spans="1:5">
      <c r="A4042" t="s">
        <v>114</v>
      </c>
      <c r="B4042" t="s">
        <v>104</v>
      </c>
      <c r="C4042" s="5">
        <v>45485</v>
      </c>
      <c r="D4042">
        <v>229</v>
      </c>
      <c r="E4042">
        <f>WEEKNUM(Append321[[#This Row],[Date]])</f>
        <v>28</v>
      </c>
    </row>
    <row r="4043" spans="1:5">
      <c r="A4043" t="s">
        <v>114</v>
      </c>
      <c r="B4043" t="s">
        <v>104</v>
      </c>
      <c r="C4043" s="5">
        <v>45486</v>
      </c>
      <c r="D4043">
        <v>325</v>
      </c>
      <c r="E4043">
        <f>WEEKNUM(Append321[[#This Row],[Date]])</f>
        <v>28</v>
      </c>
    </row>
    <row r="4044" spans="1:5">
      <c r="A4044" t="s">
        <v>114</v>
      </c>
      <c r="B4044" t="s">
        <v>104</v>
      </c>
      <c r="C4044" s="5">
        <v>45495</v>
      </c>
      <c r="D4044">
        <v>243</v>
      </c>
      <c r="E4044">
        <f>WEEKNUM(Append321[[#This Row],[Date]])</f>
        <v>30</v>
      </c>
    </row>
    <row r="4045" spans="1:5">
      <c r="A4045" t="s">
        <v>114</v>
      </c>
      <c r="B4045" t="s">
        <v>104</v>
      </c>
      <c r="C4045" s="5">
        <v>45496</v>
      </c>
      <c r="D4045">
        <v>210</v>
      </c>
      <c r="E4045">
        <f>WEEKNUM(Append321[[#This Row],[Date]])</f>
        <v>30</v>
      </c>
    </row>
    <row r="4046" spans="1:5">
      <c r="A4046" t="s">
        <v>114</v>
      </c>
      <c r="B4046" t="s">
        <v>104</v>
      </c>
      <c r="C4046" s="5">
        <v>45497</v>
      </c>
      <c r="D4046">
        <v>222</v>
      </c>
      <c r="E4046">
        <f>WEEKNUM(Append321[[#This Row],[Date]])</f>
        <v>30</v>
      </c>
    </row>
    <row r="4047" spans="1:5">
      <c r="A4047" t="s">
        <v>114</v>
      </c>
      <c r="B4047" t="s">
        <v>104</v>
      </c>
      <c r="C4047" s="5">
        <v>45498</v>
      </c>
      <c r="D4047">
        <v>186</v>
      </c>
      <c r="E4047">
        <f>WEEKNUM(Append321[[#This Row],[Date]])</f>
        <v>30</v>
      </c>
    </row>
    <row r="4048" spans="1:5">
      <c r="A4048" t="s">
        <v>114</v>
      </c>
      <c r="B4048" t="s">
        <v>104</v>
      </c>
      <c r="C4048" s="5">
        <v>45499</v>
      </c>
      <c r="D4048">
        <v>222</v>
      </c>
      <c r="E4048">
        <f>WEEKNUM(Append321[[#This Row],[Date]])</f>
        <v>30</v>
      </c>
    </row>
    <row r="4049" spans="1:5">
      <c r="A4049" t="s">
        <v>114</v>
      </c>
      <c r="B4049" t="s">
        <v>104</v>
      </c>
      <c r="C4049" s="5">
        <v>45500</v>
      </c>
      <c r="D4049">
        <v>229</v>
      </c>
      <c r="E4049">
        <f>WEEKNUM(Append321[[#This Row],[Date]])</f>
        <v>30</v>
      </c>
    </row>
    <row r="4050" spans="1:5">
      <c r="A4050" t="s">
        <v>114</v>
      </c>
      <c r="B4050" t="s">
        <v>104</v>
      </c>
      <c r="C4050" s="5">
        <v>45501</v>
      </c>
      <c r="D4050">
        <v>325</v>
      </c>
      <c r="E4050">
        <f>WEEKNUM(Append321[[#This Row],[Date]])</f>
        <v>31</v>
      </c>
    </row>
    <row r="4051" spans="1:5">
      <c r="A4051" t="s">
        <v>114</v>
      </c>
      <c r="B4051" t="s">
        <v>104</v>
      </c>
      <c r="C4051" s="5">
        <v>45527</v>
      </c>
      <c r="D4051">
        <v>136</v>
      </c>
      <c r="E4051">
        <f>WEEKNUM(Append321[[#This Row],[Date]])</f>
        <v>34</v>
      </c>
    </row>
    <row r="4052" spans="1:5">
      <c r="A4052" t="s">
        <v>114</v>
      </c>
      <c r="B4052" t="s">
        <v>104</v>
      </c>
      <c r="C4052" s="5">
        <v>45528</v>
      </c>
      <c r="D4052">
        <v>146</v>
      </c>
      <c r="E4052">
        <f>WEEKNUM(Append321[[#This Row],[Date]])</f>
        <v>34</v>
      </c>
    </row>
    <row r="4053" spans="1:5">
      <c r="A4053" t="s">
        <v>114</v>
      </c>
      <c r="B4053" t="s">
        <v>104</v>
      </c>
      <c r="C4053" s="5">
        <v>45529</v>
      </c>
      <c r="D4053">
        <v>111</v>
      </c>
      <c r="E4053">
        <f>WEEKNUM(Append321[[#This Row],[Date]])</f>
        <v>35</v>
      </c>
    </row>
    <row r="4054" spans="1:5">
      <c r="A4054" t="s">
        <v>114</v>
      </c>
      <c r="B4054" t="s">
        <v>104</v>
      </c>
      <c r="C4054" s="5">
        <v>45530</v>
      </c>
      <c r="D4054">
        <v>130</v>
      </c>
      <c r="E4054">
        <f>WEEKNUM(Append321[[#This Row],[Date]])</f>
        <v>35</v>
      </c>
    </row>
    <row r="4055" spans="1:5">
      <c r="A4055" t="s">
        <v>114</v>
      </c>
      <c r="B4055" t="s">
        <v>104</v>
      </c>
      <c r="C4055" s="5">
        <v>45531</v>
      </c>
      <c r="D4055">
        <v>132</v>
      </c>
      <c r="E4055">
        <f>WEEKNUM(Append321[[#This Row],[Date]])</f>
        <v>35</v>
      </c>
    </row>
    <row r="4056" spans="1:5">
      <c r="A4056" t="s">
        <v>114</v>
      </c>
      <c r="B4056" t="s">
        <v>104</v>
      </c>
      <c r="C4056" s="5">
        <v>45532</v>
      </c>
      <c r="D4056">
        <v>106</v>
      </c>
      <c r="E4056">
        <f>WEEKNUM(Append321[[#This Row],[Date]])</f>
        <v>35</v>
      </c>
    </row>
    <row r="4057" spans="1:5">
      <c r="A4057" t="s">
        <v>114</v>
      </c>
      <c r="B4057" t="s">
        <v>104</v>
      </c>
      <c r="C4057" s="5">
        <v>45533</v>
      </c>
      <c r="D4057">
        <v>106</v>
      </c>
      <c r="E4057">
        <f>WEEKNUM(Append321[[#This Row],[Date]])</f>
        <v>35</v>
      </c>
    </row>
    <row r="4058" spans="1:5">
      <c r="A4058" t="s">
        <v>114</v>
      </c>
      <c r="B4058" t="s">
        <v>104</v>
      </c>
      <c r="C4058" s="5">
        <v>45534</v>
      </c>
      <c r="D4058">
        <v>117</v>
      </c>
      <c r="E4058">
        <f>WEEKNUM(Append321[[#This Row],[Date]])</f>
        <v>35</v>
      </c>
    </row>
    <row r="4059" spans="1:5">
      <c r="A4059" t="s">
        <v>114</v>
      </c>
      <c r="B4059" t="s">
        <v>104</v>
      </c>
      <c r="C4059" s="5">
        <v>45535</v>
      </c>
      <c r="D4059">
        <v>127</v>
      </c>
      <c r="E4059">
        <f>WEEKNUM(Append321[[#This Row],[Date]])</f>
        <v>35</v>
      </c>
    </row>
    <row r="4060" spans="1:5">
      <c r="A4060" t="s">
        <v>114</v>
      </c>
      <c r="B4060" t="s">
        <v>105</v>
      </c>
      <c r="C4060" s="5">
        <v>45459</v>
      </c>
      <c r="D4060">
        <v>39</v>
      </c>
      <c r="E4060">
        <f>WEEKNUM(Append321[[#This Row],[Date]])</f>
        <v>25</v>
      </c>
    </row>
    <row r="4061" spans="1:5">
      <c r="A4061" t="s">
        <v>114</v>
      </c>
      <c r="B4061" t="s">
        <v>105</v>
      </c>
      <c r="C4061" s="5">
        <v>45460</v>
      </c>
      <c r="D4061">
        <v>41</v>
      </c>
      <c r="E4061">
        <f>WEEKNUM(Append321[[#This Row],[Date]])</f>
        <v>25</v>
      </c>
    </row>
    <row r="4062" spans="1:5">
      <c r="A4062" t="s">
        <v>114</v>
      </c>
      <c r="B4062" t="s">
        <v>105</v>
      </c>
      <c r="C4062" s="5">
        <v>45461</v>
      </c>
      <c r="D4062">
        <v>44</v>
      </c>
      <c r="E4062">
        <f>WEEKNUM(Append321[[#This Row],[Date]])</f>
        <v>25</v>
      </c>
    </row>
    <row r="4063" spans="1:5">
      <c r="A4063" t="s">
        <v>114</v>
      </c>
      <c r="B4063" t="s">
        <v>105</v>
      </c>
      <c r="C4063" s="5">
        <v>45462</v>
      </c>
      <c r="D4063">
        <v>51</v>
      </c>
      <c r="E4063">
        <f>WEEKNUM(Append321[[#This Row],[Date]])</f>
        <v>25</v>
      </c>
    </row>
    <row r="4064" spans="1:5">
      <c r="A4064" t="s">
        <v>114</v>
      </c>
      <c r="B4064" t="s">
        <v>105</v>
      </c>
      <c r="C4064" s="5">
        <v>45463</v>
      </c>
      <c r="D4064">
        <v>48</v>
      </c>
      <c r="E4064">
        <f>WEEKNUM(Append321[[#This Row],[Date]])</f>
        <v>25</v>
      </c>
    </row>
    <row r="4065" spans="1:5">
      <c r="A4065" t="s">
        <v>114</v>
      </c>
      <c r="B4065" t="s">
        <v>105</v>
      </c>
      <c r="C4065" s="5">
        <v>45464</v>
      </c>
      <c r="D4065">
        <v>54</v>
      </c>
      <c r="E4065">
        <f>WEEKNUM(Append321[[#This Row],[Date]])</f>
        <v>25</v>
      </c>
    </row>
    <row r="4066" spans="1:5">
      <c r="A4066" t="s">
        <v>114</v>
      </c>
      <c r="B4066" t="s">
        <v>105</v>
      </c>
      <c r="C4066" s="5">
        <v>45465</v>
      </c>
      <c r="D4066">
        <v>40</v>
      </c>
      <c r="E4066">
        <f>WEEKNUM(Append321[[#This Row],[Date]])</f>
        <v>25</v>
      </c>
    </row>
    <row r="4067" spans="1:5">
      <c r="A4067" t="s">
        <v>114</v>
      </c>
      <c r="B4067" t="s">
        <v>105</v>
      </c>
      <c r="C4067" s="5">
        <v>45480</v>
      </c>
      <c r="D4067">
        <v>39</v>
      </c>
      <c r="E4067">
        <f>WEEKNUM(Append321[[#This Row],[Date]])</f>
        <v>28</v>
      </c>
    </row>
    <row r="4068" spans="1:5">
      <c r="A4068" t="s">
        <v>114</v>
      </c>
      <c r="B4068" t="s">
        <v>105</v>
      </c>
      <c r="C4068" s="5">
        <v>45481</v>
      </c>
      <c r="D4068">
        <v>41</v>
      </c>
      <c r="E4068">
        <f>WEEKNUM(Append321[[#This Row],[Date]])</f>
        <v>28</v>
      </c>
    </row>
    <row r="4069" spans="1:5">
      <c r="A4069" t="s">
        <v>114</v>
      </c>
      <c r="B4069" t="s">
        <v>105</v>
      </c>
      <c r="C4069" s="5">
        <v>45482</v>
      </c>
      <c r="D4069">
        <v>44</v>
      </c>
      <c r="E4069">
        <f>WEEKNUM(Append321[[#This Row],[Date]])</f>
        <v>28</v>
      </c>
    </row>
    <row r="4070" spans="1:5">
      <c r="A4070" t="s">
        <v>114</v>
      </c>
      <c r="B4070" t="s">
        <v>105</v>
      </c>
      <c r="C4070" s="5">
        <v>45483</v>
      </c>
      <c r="D4070">
        <v>51</v>
      </c>
      <c r="E4070">
        <f>WEEKNUM(Append321[[#This Row],[Date]])</f>
        <v>28</v>
      </c>
    </row>
    <row r="4071" spans="1:5">
      <c r="A4071" t="s">
        <v>114</v>
      </c>
      <c r="B4071" t="s">
        <v>105</v>
      </c>
      <c r="C4071" s="5">
        <v>45484</v>
      </c>
      <c r="D4071">
        <v>48</v>
      </c>
      <c r="E4071">
        <f>WEEKNUM(Append321[[#This Row],[Date]])</f>
        <v>28</v>
      </c>
    </row>
    <row r="4072" spans="1:5">
      <c r="A4072" t="s">
        <v>114</v>
      </c>
      <c r="B4072" t="s">
        <v>105</v>
      </c>
      <c r="C4072" s="5">
        <v>45485</v>
      </c>
      <c r="D4072">
        <v>54</v>
      </c>
      <c r="E4072">
        <f>WEEKNUM(Append321[[#This Row],[Date]])</f>
        <v>28</v>
      </c>
    </row>
    <row r="4073" spans="1:5">
      <c r="A4073" t="s">
        <v>114</v>
      </c>
      <c r="B4073" t="s">
        <v>105</v>
      </c>
      <c r="C4073" s="5">
        <v>45486</v>
      </c>
      <c r="D4073">
        <v>40</v>
      </c>
      <c r="E4073">
        <f>WEEKNUM(Append321[[#This Row],[Date]])</f>
        <v>28</v>
      </c>
    </row>
    <row r="4074" spans="1:5">
      <c r="A4074" t="s">
        <v>114</v>
      </c>
      <c r="B4074" t="s">
        <v>105</v>
      </c>
      <c r="C4074" s="5">
        <v>45495</v>
      </c>
      <c r="D4074">
        <v>39</v>
      </c>
      <c r="E4074">
        <f>WEEKNUM(Append321[[#This Row],[Date]])</f>
        <v>30</v>
      </c>
    </row>
    <row r="4075" spans="1:5">
      <c r="A4075" t="s">
        <v>114</v>
      </c>
      <c r="B4075" t="s">
        <v>105</v>
      </c>
      <c r="C4075" s="5">
        <v>45496</v>
      </c>
      <c r="D4075">
        <v>41</v>
      </c>
      <c r="E4075">
        <f>WEEKNUM(Append321[[#This Row],[Date]])</f>
        <v>30</v>
      </c>
    </row>
    <row r="4076" spans="1:5">
      <c r="A4076" t="s">
        <v>114</v>
      </c>
      <c r="B4076" t="s">
        <v>105</v>
      </c>
      <c r="C4076" s="5">
        <v>45497</v>
      </c>
      <c r="D4076">
        <v>44</v>
      </c>
      <c r="E4076">
        <f>WEEKNUM(Append321[[#This Row],[Date]])</f>
        <v>30</v>
      </c>
    </row>
    <row r="4077" spans="1:5">
      <c r="A4077" t="s">
        <v>114</v>
      </c>
      <c r="B4077" t="s">
        <v>105</v>
      </c>
      <c r="C4077" s="5">
        <v>45498</v>
      </c>
      <c r="D4077">
        <v>51</v>
      </c>
      <c r="E4077">
        <f>WEEKNUM(Append321[[#This Row],[Date]])</f>
        <v>30</v>
      </c>
    </row>
    <row r="4078" spans="1:5">
      <c r="A4078" t="s">
        <v>114</v>
      </c>
      <c r="B4078" t="s">
        <v>105</v>
      </c>
      <c r="C4078" s="5">
        <v>45499</v>
      </c>
      <c r="D4078">
        <v>48</v>
      </c>
      <c r="E4078">
        <f>WEEKNUM(Append321[[#This Row],[Date]])</f>
        <v>30</v>
      </c>
    </row>
    <row r="4079" spans="1:5">
      <c r="A4079" t="s">
        <v>114</v>
      </c>
      <c r="B4079" t="s">
        <v>105</v>
      </c>
      <c r="C4079" s="5">
        <v>45500</v>
      </c>
      <c r="D4079">
        <v>54</v>
      </c>
      <c r="E4079">
        <f>WEEKNUM(Append321[[#This Row],[Date]])</f>
        <v>30</v>
      </c>
    </row>
    <row r="4080" spans="1:5">
      <c r="A4080" t="s">
        <v>114</v>
      </c>
      <c r="B4080" t="s">
        <v>105</v>
      </c>
      <c r="C4080" s="5">
        <v>45501</v>
      </c>
      <c r="D4080">
        <v>40</v>
      </c>
      <c r="E4080">
        <f>WEEKNUM(Append321[[#This Row],[Date]])</f>
        <v>31</v>
      </c>
    </row>
    <row r="4081" spans="1:5">
      <c r="A4081" t="s">
        <v>114</v>
      </c>
      <c r="B4081" t="s">
        <v>105</v>
      </c>
      <c r="C4081" s="5">
        <v>45527</v>
      </c>
      <c r="D4081">
        <v>50</v>
      </c>
      <c r="E4081">
        <f>WEEKNUM(Append321[[#This Row],[Date]])</f>
        <v>34</v>
      </c>
    </row>
    <row r="4082" spans="1:5">
      <c r="A4082" t="s">
        <v>114</v>
      </c>
      <c r="B4082" t="s">
        <v>105</v>
      </c>
      <c r="C4082" s="5">
        <v>45528</v>
      </c>
      <c r="D4082">
        <v>60</v>
      </c>
      <c r="E4082">
        <f>WEEKNUM(Append321[[#This Row],[Date]])</f>
        <v>34</v>
      </c>
    </row>
    <row r="4083" spans="1:5">
      <c r="A4083" t="s">
        <v>114</v>
      </c>
      <c r="B4083" t="s">
        <v>105</v>
      </c>
      <c r="C4083" s="5">
        <v>45529</v>
      </c>
      <c r="D4083">
        <v>50</v>
      </c>
      <c r="E4083">
        <f>WEEKNUM(Append321[[#This Row],[Date]])</f>
        <v>35</v>
      </c>
    </row>
    <row r="4084" spans="1:5">
      <c r="A4084" t="s">
        <v>114</v>
      </c>
      <c r="B4084" t="s">
        <v>105</v>
      </c>
      <c r="C4084" s="5">
        <v>45530</v>
      </c>
      <c r="D4084">
        <v>49</v>
      </c>
      <c r="E4084">
        <f>WEEKNUM(Append321[[#This Row],[Date]])</f>
        <v>35</v>
      </c>
    </row>
    <row r="4085" spans="1:5">
      <c r="A4085" t="s">
        <v>114</v>
      </c>
      <c r="B4085" t="s">
        <v>105</v>
      </c>
      <c r="C4085" s="5">
        <v>45531</v>
      </c>
      <c r="D4085">
        <v>44</v>
      </c>
      <c r="E4085">
        <f>WEEKNUM(Append321[[#This Row],[Date]])</f>
        <v>35</v>
      </c>
    </row>
    <row r="4086" spans="1:5">
      <c r="A4086" t="s">
        <v>114</v>
      </c>
      <c r="B4086" t="s">
        <v>105</v>
      </c>
      <c r="C4086" s="5">
        <v>45532</v>
      </c>
      <c r="D4086">
        <v>54</v>
      </c>
      <c r="E4086">
        <f>WEEKNUM(Append321[[#This Row],[Date]])</f>
        <v>35</v>
      </c>
    </row>
    <row r="4087" spans="1:5">
      <c r="A4087" t="s">
        <v>114</v>
      </c>
      <c r="B4087" t="s">
        <v>105</v>
      </c>
      <c r="C4087" s="5">
        <v>45533</v>
      </c>
      <c r="D4087">
        <v>51</v>
      </c>
      <c r="E4087">
        <f>WEEKNUM(Append321[[#This Row],[Date]])</f>
        <v>35</v>
      </c>
    </row>
    <row r="4088" spans="1:5">
      <c r="A4088" t="s">
        <v>114</v>
      </c>
      <c r="B4088" t="s">
        <v>105</v>
      </c>
      <c r="C4088" s="5">
        <v>45534</v>
      </c>
      <c r="D4088">
        <v>57</v>
      </c>
      <c r="E4088">
        <f>WEEKNUM(Append321[[#This Row],[Date]])</f>
        <v>35</v>
      </c>
    </row>
    <row r="4089" spans="1:5">
      <c r="A4089" t="s">
        <v>114</v>
      </c>
      <c r="B4089" t="s">
        <v>105</v>
      </c>
      <c r="C4089" s="5">
        <v>45535</v>
      </c>
      <c r="D4089">
        <v>50</v>
      </c>
      <c r="E4089">
        <f>WEEKNUM(Append321[[#This Row],[Date]])</f>
        <v>35</v>
      </c>
    </row>
    <row r="4090" spans="1:5">
      <c r="A4090" t="s">
        <v>114</v>
      </c>
      <c r="B4090" t="s">
        <v>106</v>
      </c>
      <c r="C4090" s="5">
        <v>45459</v>
      </c>
      <c r="D4090">
        <v>184</v>
      </c>
      <c r="E4090">
        <f>WEEKNUM(Append321[[#This Row],[Date]])</f>
        <v>25</v>
      </c>
    </row>
    <row r="4091" spans="1:5">
      <c r="A4091" t="s">
        <v>114</v>
      </c>
      <c r="B4091" t="s">
        <v>106</v>
      </c>
      <c r="C4091" s="5">
        <v>45460</v>
      </c>
      <c r="D4091">
        <v>202</v>
      </c>
      <c r="E4091">
        <f>WEEKNUM(Append321[[#This Row],[Date]])</f>
        <v>25</v>
      </c>
    </row>
    <row r="4092" spans="1:5">
      <c r="A4092" t="s">
        <v>114</v>
      </c>
      <c r="B4092" t="s">
        <v>106</v>
      </c>
      <c r="C4092" s="5">
        <v>45461</v>
      </c>
      <c r="D4092">
        <v>204</v>
      </c>
      <c r="E4092">
        <f>WEEKNUM(Append321[[#This Row],[Date]])</f>
        <v>25</v>
      </c>
    </row>
    <row r="4093" spans="1:5">
      <c r="A4093" t="s">
        <v>114</v>
      </c>
      <c r="B4093" t="s">
        <v>106</v>
      </c>
      <c r="C4093" s="5">
        <v>45462</v>
      </c>
      <c r="D4093">
        <v>235</v>
      </c>
      <c r="E4093">
        <f>WEEKNUM(Append321[[#This Row],[Date]])</f>
        <v>25</v>
      </c>
    </row>
    <row r="4094" spans="1:5">
      <c r="A4094" t="s">
        <v>114</v>
      </c>
      <c r="B4094" t="s">
        <v>106</v>
      </c>
      <c r="C4094" s="5">
        <v>45463</v>
      </c>
      <c r="D4094">
        <v>215</v>
      </c>
      <c r="E4094">
        <f>WEEKNUM(Append321[[#This Row],[Date]])</f>
        <v>25</v>
      </c>
    </row>
    <row r="4095" spans="1:5">
      <c r="A4095" t="s">
        <v>114</v>
      </c>
      <c r="B4095" t="s">
        <v>106</v>
      </c>
      <c r="C4095" s="5">
        <v>45464</v>
      </c>
      <c r="D4095">
        <v>193</v>
      </c>
      <c r="E4095">
        <f>WEEKNUM(Append321[[#This Row],[Date]])</f>
        <v>25</v>
      </c>
    </row>
    <row r="4096" spans="1:5">
      <c r="A4096" t="s">
        <v>114</v>
      </c>
      <c r="B4096" t="s">
        <v>106</v>
      </c>
      <c r="C4096" s="5">
        <v>45465</v>
      </c>
      <c r="D4096">
        <v>234</v>
      </c>
      <c r="E4096">
        <f>WEEKNUM(Append321[[#This Row],[Date]])</f>
        <v>25</v>
      </c>
    </row>
    <row r="4097" spans="1:5">
      <c r="A4097" t="s">
        <v>114</v>
      </c>
      <c r="B4097" t="s">
        <v>106</v>
      </c>
      <c r="C4097" s="5">
        <v>45480</v>
      </c>
      <c r="D4097">
        <v>184</v>
      </c>
      <c r="E4097">
        <f>WEEKNUM(Append321[[#This Row],[Date]])</f>
        <v>28</v>
      </c>
    </row>
    <row r="4098" spans="1:5">
      <c r="A4098" t="s">
        <v>114</v>
      </c>
      <c r="B4098" t="s">
        <v>106</v>
      </c>
      <c r="C4098" s="5">
        <v>45481</v>
      </c>
      <c r="D4098">
        <v>202</v>
      </c>
      <c r="E4098">
        <f>WEEKNUM(Append321[[#This Row],[Date]])</f>
        <v>28</v>
      </c>
    </row>
    <row r="4099" spans="1:5">
      <c r="A4099" t="s">
        <v>114</v>
      </c>
      <c r="B4099" t="s">
        <v>106</v>
      </c>
      <c r="C4099" s="5">
        <v>45482</v>
      </c>
      <c r="D4099">
        <v>204</v>
      </c>
      <c r="E4099">
        <f>WEEKNUM(Append321[[#This Row],[Date]])</f>
        <v>28</v>
      </c>
    </row>
    <row r="4100" spans="1:5">
      <c r="A4100" t="s">
        <v>114</v>
      </c>
      <c r="B4100" t="s">
        <v>106</v>
      </c>
      <c r="C4100" s="5">
        <v>45483</v>
      </c>
      <c r="D4100">
        <v>235</v>
      </c>
      <c r="E4100">
        <f>WEEKNUM(Append321[[#This Row],[Date]])</f>
        <v>28</v>
      </c>
    </row>
    <row r="4101" spans="1:5">
      <c r="A4101" t="s">
        <v>114</v>
      </c>
      <c r="B4101" t="s">
        <v>106</v>
      </c>
      <c r="C4101" s="5">
        <v>45484</v>
      </c>
      <c r="D4101">
        <v>215</v>
      </c>
      <c r="E4101">
        <f>WEEKNUM(Append321[[#This Row],[Date]])</f>
        <v>28</v>
      </c>
    </row>
    <row r="4102" spans="1:5">
      <c r="A4102" t="s">
        <v>114</v>
      </c>
      <c r="B4102" t="s">
        <v>106</v>
      </c>
      <c r="C4102" s="5">
        <v>45485</v>
      </c>
      <c r="D4102">
        <v>193</v>
      </c>
      <c r="E4102">
        <f>WEEKNUM(Append321[[#This Row],[Date]])</f>
        <v>28</v>
      </c>
    </row>
    <row r="4103" spans="1:5">
      <c r="A4103" t="s">
        <v>114</v>
      </c>
      <c r="B4103" t="s">
        <v>106</v>
      </c>
      <c r="C4103" s="5">
        <v>45486</v>
      </c>
      <c r="D4103">
        <v>234</v>
      </c>
      <c r="E4103">
        <f>WEEKNUM(Append321[[#This Row],[Date]])</f>
        <v>28</v>
      </c>
    </row>
    <row r="4104" spans="1:5">
      <c r="A4104" t="s">
        <v>114</v>
      </c>
      <c r="B4104" t="s">
        <v>106</v>
      </c>
      <c r="C4104" s="5">
        <v>45495</v>
      </c>
      <c r="D4104">
        <v>184</v>
      </c>
      <c r="E4104">
        <f>WEEKNUM(Append321[[#This Row],[Date]])</f>
        <v>30</v>
      </c>
    </row>
    <row r="4105" spans="1:5">
      <c r="A4105" t="s">
        <v>114</v>
      </c>
      <c r="B4105" t="s">
        <v>106</v>
      </c>
      <c r="C4105" s="5">
        <v>45496</v>
      </c>
      <c r="D4105">
        <v>202</v>
      </c>
      <c r="E4105">
        <f>WEEKNUM(Append321[[#This Row],[Date]])</f>
        <v>30</v>
      </c>
    </row>
    <row r="4106" spans="1:5">
      <c r="A4106" t="s">
        <v>114</v>
      </c>
      <c r="B4106" t="s">
        <v>106</v>
      </c>
      <c r="C4106" s="5">
        <v>45497</v>
      </c>
      <c r="D4106">
        <v>204</v>
      </c>
      <c r="E4106">
        <f>WEEKNUM(Append321[[#This Row],[Date]])</f>
        <v>30</v>
      </c>
    </row>
    <row r="4107" spans="1:5">
      <c r="A4107" t="s">
        <v>114</v>
      </c>
      <c r="B4107" t="s">
        <v>106</v>
      </c>
      <c r="C4107" s="5">
        <v>45498</v>
      </c>
      <c r="D4107">
        <v>235</v>
      </c>
      <c r="E4107">
        <f>WEEKNUM(Append321[[#This Row],[Date]])</f>
        <v>30</v>
      </c>
    </row>
    <row r="4108" spans="1:5">
      <c r="A4108" t="s">
        <v>114</v>
      </c>
      <c r="B4108" t="s">
        <v>106</v>
      </c>
      <c r="C4108" s="5">
        <v>45499</v>
      </c>
      <c r="D4108">
        <v>215</v>
      </c>
      <c r="E4108">
        <f>WEEKNUM(Append321[[#This Row],[Date]])</f>
        <v>30</v>
      </c>
    </row>
    <row r="4109" spans="1:5">
      <c r="A4109" t="s">
        <v>114</v>
      </c>
      <c r="B4109" t="s">
        <v>106</v>
      </c>
      <c r="C4109" s="5">
        <v>45500</v>
      </c>
      <c r="D4109">
        <v>193</v>
      </c>
      <c r="E4109">
        <f>WEEKNUM(Append321[[#This Row],[Date]])</f>
        <v>30</v>
      </c>
    </row>
    <row r="4110" spans="1:5">
      <c r="A4110" t="s">
        <v>114</v>
      </c>
      <c r="B4110" t="s">
        <v>106</v>
      </c>
      <c r="C4110" s="5">
        <v>45501</v>
      </c>
      <c r="D4110">
        <v>234</v>
      </c>
      <c r="E4110">
        <f>WEEKNUM(Append321[[#This Row],[Date]])</f>
        <v>31</v>
      </c>
    </row>
    <row r="4111" spans="1:5">
      <c r="A4111" t="s">
        <v>114</v>
      </c>
      <c r="B4111" t="s">
        <v>107</v>
      </c>
      <c r="C4111" s="5">
        <v>45459</v>
      </c>
      <c r="D4111">
        <v>8</v>
      </c>
      <c r="E4111">
        <f>WEEKNUM(Append321[[#This Row],[Date]])</f>
        <v>25</v>
      </c>
    </row>
    <row r="4112" spans="1:5">
      <c r="A4112" t="s">
        <v>114</v>
      </c>
      <c r="B4112" t="s">
        <v>107</v>
      </c>
      <c r="C4112" s="5">
        <v>45460</v>
      </c>
      <c r="D4112">
        <v>6</v>
      </c>
      <c r="E4112">
        <f>WEEKNUM(Append321[[#This Row],[Date]])</f>
        <v>25</v>
      </c>
    </row>
    <row r="4113" spans="1:5">
      <c r="A4113" t="s">
        <v>114</v>
      </c>
      <c r="B4113" t="s">
        <v>107</v>
      </c>
      <c r="C4113" s="5">
        <v>45461</v>
      </c>
      <c r="D4113">
        <v>6</v>
      </c>
      <c r="E4113">
        <f>WEEKNUM(Append321[[#This Row],[Date]])</f>
        <v>25</v>
      </c>
    </row>
    <row r="4114" spans="1:5">
      <c r="A4114" t="s">
        <v>114</v>
      </c>
      <c r="B4114" t="s">
        <v>107</v>
      </c>
      <c r="C4114" s="5">
        <v>45462</v>
      </c>
      <c r="D4114">
        <v>5</v>
      </c>
      <c r="E4114">
        <f>WEEKNUM(Append321[[#This Row],[Date]])</f>
        <v>25</v>
      </c>
    </row>
    <row r="4115" spans="1:5">
      <c r="A4115" t="s">
        <v>114</v>
      </c>
      <c r="B4115" t="s">
        <v>107</v>
      </c>
      <c r="C4115" s="5">
        <v>45463</v>
      </c>
      <c r="D4115">
        <v>5</v>
      </c>
      <c r="E4115">
        <f>WEEKNUM(Append321[[#This Row],[Date]])</f>
        <v>25</v>
      </c>
    </row>
    <row r="4116" spans="1:5">
      <c r="A4116" t="s">
        <v>114</v>
      </c>
      <c r="B4116" t="s">
        <v>107</v>
      </c>
      <c r="C4116" s="5">
        <v>45464</v>
      </c>
      <c r="D4116">
        <v>7</v>
      </c>
      <c r="E4116">
        <f>WEEKNUM(Append321[[#This Row],[Date]])</f>
        <v>25</v>
      </c>
    </row>
    <row r="4117" spans="1:5">
      <c r="A4117" t="s">
        <v>114</v>
      </c>
      <c r="B4117" t="s">
        <v>107</v>
      </c>
      <c r="C4117" s="5">
        <v>45465</v>
      </c>
      <c r="D4117">
        <v>6</v>
      </c>
      <c r="E4117">
        <f>WEEKNUM(Append321[[#This Row],[Date]])</f>
        <v>25</v>
      </c>
    </row>
    <row r="4118" spans="1:5">
      <c r="A4118" t="s">
        <v>114</v>
      </c>
      <c r="B4118" t="s">
        <v>107</v>
      </c>
      <c r="C4118" s="5">
        <v>45480</v>
      </c>
      <c r="D4118">
        <v>8</v>
      </c>
      <c r="E4118">
        <f>WEEKNUM(Append321[[#This Row],[Date]])</f>
        <v>28</v>
      </c>
    </row>
    <row r="4119" spans="1:5">
      <c r="A4119" t="s">
        <v>114</v>
      </c>
      <c r="B4119" t="s">
        <v>107</v>
      </c>
      <c r="C4119" s="5">
        <v>45481</v>
      </c>
      <c r="D4119">
        <v>6</v>
      </c>
      <c r="E4119">
        <f>WEEKNUM(Append321[[#This Row],[Date]])</f>
        <v>28</v>
      </c>
    </row>
    <row r="4120" spans="1:5">
      <c r="A4120" t="s">
        <v>114</v>
      </c>
      <c r="B4120" t="s">
        <v>107</v>
      </c>
      <c r="C4120" s="5">
        <v>45482</v>
      </c>
      <c r="D4120">
        <v>6</v>
      </c>
      <c r="E4120">
        <f>WEEKNUM(Append321[[#This Row],[Date]])</f>
        <v>28</v>
      </c>
    </row>
    <row r="4121" spans="1:5">
      <c r="A4121" t="s">
        <v>114</v>
      </c>
      <c r="B4121" t="s">
        <v>107</v>
      </c>
      <c r="C4121" s="5">
        <v>45483</v>
      </c>
      <c r="D4121">
        <v>5</v>
      </c>
      <c r="E4121">
        <f>WEEKNUM(Append321[[#This Row],[Date]])</f>
        <v>28</v>
      </c>
    </row>
    <row r="4122" spans="1:5">
      <c r="A4122" t="s">
        <v>114</v>
      </c>
      <c r="B4122" t="s">
        <v>107</v>
      </c>
      <c r="C4122" s="5">
        <v>45484</v>
      </c>
      <c r="D4122">
        <v>5</v>
      </c>
      <c r="E4122">
        <f>WEEKNUM(Append321[[#This Row],[Date]])</f>
        <v>28</v>
      </c>
    </row>
    <row r="4123" spans="1:5">
      <c r="A4123" t="s">
        <v>114</v>
      </c>
      <c r="B4123" t="s">
        <v>107</v>
      </c>
      <c r="C4123" s="5">
        <v>45485</v>
      </c>
      <c r="D4123">
        <v>7</v>
      </c>
      <c r="E4123">
        <f>WEEKNUM(Append321[[#This Row],[Date]])</f>
        <v>28</v>
      </c>
    </row>
    <row r="4124" spans="1:5">
      <c r="A4124" t="s">
        <v>114</v>
      </c>
      <c r="B4124" t="s">
        <v>107</v>
      </c>
      <c r="C4124" s="5">
        <v>45486</v>
      </c>
      <c r="D4124">
        <v>6</v>
      </c>
      <c r="E4124">
        <f>WEEKNUM(Append321[[#This Row],[Date]])</f>
        <v>28</v>
      </c>
    </row>
    <row r="4125" spans="1:5">
      <c r="A4125" t="s">
        <v>114</v>
      </c>
      <c r="B4125" t="s">
        <v>107</v>
      </c>
      <c r="C4125" s="5">
        <v>45495</v>
      </c>
      <c r="D4125">
        <v>8</v>
      </c>
      <c r="E4125">
        <f>WEEKNUM(Append321[[#This Row],[Date]])</f>
        <v>30</v>
      </c>
    </row>
    <row r="4126" spans="1:5">
      <c r="A4126" t="s">
        <v>114</v>
      </c>
      <c r="B4126" t="s">
        <v>107</v>
      </c>
      <c r="C4126" s="5">
        <v>45496</v>
      </c>
      <c r="D4126">
        <v>6</v>
      </c>
      <c r="E4126">
        <f>WEEKNUM(Append321[[#This Row],[Date]])</f>
        <v>30</v>
      </c>
    </row>
    <row r="4127" spans="1:5">
      <c r="A4127" t="s">
        <v>114</v>
      </c>
      <c r="B4127" t="s">
        <v>107</v>
      </c>
      <c r="C4127" s="5">
        <v>45497</v>
      </c>
      <c r="D4127">
        <v>6</v>
      </c>
      <c r="E4127">
        <f>WEEKNUM(Append321[[#This Row],[Date]])</f>
        <v>30</v>
      </c>
    </row>
    <row r="4128" spans="1:5">
      <c r="A4128" t="s">
        <v>114</v>
      </c>
      <c r="B4128" t="s">
        <v>107</v>
      </c>
      <c r="C4128" s="5">
        <v>45498</v>
      </c>
      <c r="D4128">
        <v>5</v>
      </c>
      <c r="E4128">
        <f>WEEKNUM(Append321[[#This Row],[Date]])</f>
        <v>30</v>
      </c>
    </row>
    <row r="4129" spans="1:5">
      <c r="A4129" t="s">
        <v>114</v>
      </c>
      <c r="B4129" t="s">
        <v>107</v>
      </c>
      <c r="C4129" s="5">
        <v>45499</v>
      </c>
      <c r="D4129">
        <v>5</v>
      </c>
      <c r="E4129">
        <f>WEEKNUM(Append321[[#This Row],[Date]])</f>
        <v>30</v>
      </c>
    </row>
    <row r="4130" spans="1:5">
      <c r="A4130" t="s">
        <v>114</v>
      </c>
      <c r="B4130" t="s">
        <v>107</v>
      </c>
      <c r="C4130" s="5">
        <v>45500</v>
      </c>
      <c r="D4130">
        <v>7</v>
      </c>
      <c r="E4130">
        <f>WEEKNUM(Append321[[#This Row],[Date]])</f>
        <v>30</v>
      </c>
    </row>
    <row r="4131" spans="1:5">
      <c r="A4131" t="s">
        <v>114</v>
      </c>
      <c r="B4131" t="s">
        <v>107</v>
      </c>
      <c r="C4131" s="5">
        <v>45501</v>
      </c>
      <c r="D4131">
        <v>6</v>
      </c>
      <c r="E4131">
        <f>WEEKNUM(Append321[[#This Row],[Date]])</f>
        <v>31</v>
      </c>
    </row>
    <row r="4132" spans="1:5">
      <c r="A4132" t="s">
        <v>114</v>
      </c>
      <c r="B4132" t="s">
        <v>107</v>
      </c>
      <c r="C4132" s="5">
        <v>45527</v>
      </c>
      <c r="D4132">
        <v>28</v>
      </c>
      <c r="E4132">
        <f>WEEKNUM(Append321[[#This Row],[Date]])</f>
        <v>34</v>
      </c>
    </row>
    <row r="4133" spans="1:5">
      <c r="A4133" t="s">
        <v>114</v>
      </c>
      <c r="B4133" t="s">
        <v>107</v>
      </c>
      <c r="C4133" s="5">
        <v>45528</v>
      </c>
      <c r="D4133">
        <v>26</v>
      </c>
      <c r="E4133">
        <f>WEEKNUM(Append321[[#This Row],[Date]])</f>
        <v>34</v>
      </c>
    </row>
    <row r="4134" spans="1:5">
      <c r="A4134" t="s">
        <v>114</v>
      </c>
      <c r="B4134" t="s">
        <v>107</v>
      </c>
      <c r="C4134" s="5">
        <v>45529</v>
      </c>
      <c r="D4134">
        <v>22</v>
      </c>
      <c r="E4134">
        <f>WEEKNUM(Append321[[#This Row],[Date]])</f>
        <v>35</v>
      </c>
    </row>
    <row r="4135" spans="1:5">
      <c r="A4135" t="s">
        <v>114</v>
      </c>
      <c r="B4135" t="s">
        <v>107</v>
      </c>
      <c r="C4135" s="5">
        <v>45530</v>
      </c>
      <c r="D4135">
        <v>19</v>
      </c>
      <c r="E4135">
        <f>WEEKNUM(Append321[[#This Row],[Date]])</f>
        <v>35</v>
      </c>
    </row>
    <row r="4136" spans="1:5">
      <c r="A4136" t="s">
        <v>114</v>
      </c>
      <c r="B4136" t="s">
        <v>107</v>
      </c>
      <c r="C4136" s="5">
        <v>45531</v>
      </c>
      <c r="D4136">
        <v>30</v>
      </c>
      <c r="E4136">
        <f>WEEKNUM(Append321[[#This Row],[Date]])</f>
        <v>35</v>
      </c>
    </row>
    <row r="4137" spans="1:5">
      <c r="A4137" t="s">
        <v>114</v>
      </c>
      <c r="B4137" t="s">
        <v>107</v>
      </c>
      <c r="C4137" s="5">
        <v>45532</v>
      </c>
      <c r="D4137">
        <v>25</v>
      </c>
      <c r="E4137">
        <f>WEEKNUM(Append321[[#This Row],[Date]])</f>
        <v>35</v>
      </c>
    </row>
    <row r="4138" spans="1:5">
      <c r="A4138" t="s">
        <v>114</v>
      </c>
      <c r="B4138" t="s">
        <v>107</v>
      </c>
      <c r="C4138" s="5">
        <v>45533</v>
      </c>
      <c r="D4138">
        <v>28</v>
      </c>
      <c r="E4138">
        <f>WEEKNUM(Append321[[#This Row],[Date]])</f>
        <v>35</v>
      </c>
    </row>
    <row r="4139" spans="1:5">
      <c r="A4139" t="s">
        <v>114</v>
      </c>
      <c r="B4139" t="s">
        <v>107</v>
      </c>
      <c r="C4139" s="5">
        <v>45534</v>
      </c>
      <c r="D4139">
        <v>30</v>
      </c>
      <c r="E4139">
        <f>WEEKNUM(Append321[[#This Row],[Date]])</f>
        <v>35</v>
      </c>
    </row>
    <row r="4140" spans="1:5">
      <c r="A4140" t="s">
        <v>114</v>
      </c>
      <c r="B4140" t="s">
        <v>107</v>
      </c>
      <c r="C4140" s="5">
        <v>45535</v>
      </c>
      <c r="D4140">
        <v>28</v>
      </c>
      <c r="E4140">
        <f>WEEKNUM(Append321[[#This Row],[Date]])</f>
        <v>35</v>
      </c>
    </row>
    <row r="4141" spans="1:5">
      <c r="A4141" t="s">
        <v>114</v>
      </c>
      <c r="B4141" t="s">
        <v>108</v>
      </c>
      <c r="C4141" s="5">
        <v>45527</v>
      </c>
      <c r="D4141">
        <v>52</v>
      </c>
      <c r="E4141">
        <f>WEEKNUM(Append321[[#This Row],[Date]])</f>
        <v>34</v>
      </c>
    </row>
    <row r="4142" spans="1:5">
      <c r="A4142" t="s">
        <v>114</v>
      </c>
      <c r="B4142" t="s">
        <v>108</v>
      </c>
      <c r="C4142" s="5">
        <v>45528</v>
      </c>
      <c r="D4142">
        <v>49</v>
      </c>
      <c r="E4142">
        <f>WEEKNUM(Append321[[#This Row],[Date]])</f>
        <v>34</v>
      </c>
    </row>
    <row r="4143" spans="1:5">
      <c r="A4143" t="s">
        <v>114</v>
      </c>
      <c r="B4143" t="s">
        <v>108</v>
      </c>
      <c r="C4143" s="5">
        <v>45529</v>
      </c>
      <c r="D4143">
        <v>61</v>
      </c>
      <c r="E4143">
        <f>WEEKNUM(Append321[[#This Row],[Date]])</f>
        <v>35</v>
      </c>
    </row>
    <row r="4144" spans="1:5">
      <c r="A4144" t="s">
        <v>114</v>
      </c>
      <c r="B4144" t="s">
        <v>108</v>
      </c>
      <c r="C4144" s="5">
        <v>45530</v>
      </c>
      <c r="D4144">
        <v>63</v>
      </c>
      <c r="E4144">
        <f>WEEKNUM(Append321[[#This Row],[Date]])</f>
        <v>35</v>
      </c>
    </row>
    <row r="4145" spans="1:5">
      <c r="A4145" t="s">
        <v>114</v>
      </c>
      <c r="B4145" t="s">
        <v>108</v>
      </c>
      <c r="C4145" s="5">
        <v>45531</v>
      </c>
      <c r="D4145">
        <v>60</v>
      </c>
      <c r="E4145">
        <f>WEEKNUM(Append321[[#This Row],[Date]])</f>
        <v>35</v>
      </c>
    </row>
    <row r="4146" spans="1:5">
      <c r="A4146" t="s">
        <v>114</v>
      </c>
      <c r="B4146" t="s">
        <v>108</v>
      </c>
      <c r="C4146" s="5">
        <v>45532</v>
      </c>
      <c r="D4146">
        <v>58</v>
      </c>
      <c r="E4146">
        <f>WEEKNUM(Append321[[#This Row],[Date]])</f>
        <v>35</v>
      </c>
    </row>
    <row r="4147" spans="1:5">
      <c r="A4147" t="s">
        <v>114</v>
      </c>
      <c r="B4147" t="s">
        <v>108</v>
      </c>
      <c r="C4147" s="5">
        <v>45533</v>
      </c>
      <c r="D4147">
        <v>38</v>
      </c>
      <c r="E4147">
        <f>WEEKNUM(Append321[[#This Row],[Date]])</f>
        <v>35</v>
      </c>
    </row>
    <row r="4148" spans="1:5">
      <c r="A4148" t="s">
        <v>114</v>
      </c>
      <c r="B4148" t="s">
        <v>108</v>
      </c>
      <c r="C4148" s="5">
        <v>45534</v>
      </c>
      <c r="D4148">
        <v>40</v>
      </c>
      <c r="E4148">
        <f>WEEKNUM(Append321[[#This Row],[Date]])</f>
        <v>35</v>
      </c>
    </row>
    <row r="4149" spans="1:5">
      <c r="A4149" t="s">
        <v>114</v>
      </c>
      <c r="B4149" t="s">
        <v>108</v>
      </c>
      <c r="C4149" s="5">
        <v>45535</v>
      </c>
      <c r="D4149">
        <v>43</v>
      </c>
      <c r="E4149">
        <f>WEEKNUM(Append321[[#This Row],[Date]])</f>
        <v>35</v>
      </c>
    </row>
    <row r="4150" spans="1:5">
      <c r="A4150" t="s">
        <v>114</v>
      </c>
      <c r="B4150" t="s">
        <v>109</v>
      </c>
      <c r="C4150" s="5">
        <v>45527</v>
      </c>
      <c r="D4150">
        <v>28</v>
      </c>
      <c r="E4150">
        <f>WEEKNUM(Append321[[#This Row],[Date]])</f>
        <v>34</v>
      </c>
    </row>
    <row r="4151" spans="1:5">
      <c r="A4151" t="s">
        <v>114</v>
      </c>
      <c r="B4151" t="s">
        <v>109</v>
      </c>
      <c r="C4151" s="5">
        <v>45528</v>
      </c>
      <c r="D4151">
        <v>26</v>
      </c>
      <c r="E4151">
        <f>WEEKNUM(Append321[[#This Row],[Date]])</f>
        <v>34</v>
      </c>
    </row>
    <row r="4152" spans="1:5">
      <c r="A4152" t="s">
        <v>114</v>
      </c>
      <c r="B4152" t="s">
        <v>109</v>
      </c>
      <c r="C4152" s="5">
        <v>45529</v>
      </c>
      <c r="D4152">
        <v>22</v>
      </c>
      <c r="E4152">
        <f>WEEKNUM(Append321[[#This Row],[Date]])</f>
        <v>35</v>
      </c>
    </row>
    <row r="4153" spans="1:5">
      <c r="A4153" t="s">
        <v>114</v>
      </c>
      <c r="B4153" t="s">
        <v>109</v>
      </c>
      <c r="C4153" s="5">
        <v>45530</v>
      </c>
      <c r="D4153">
        <v>19</v>
      </c>
      <c r="E4153">
        <f>WEEKNUM(Append321[[#This Row],[Date]])</f>
        <v>35</v>
      </c>
    </row>
    <row r="4154" spans="1:5">
      <c r="A4154" t="s">
        <v>114</v>
      </c>
      <c r="B4154" t="s">
        <v>109</v>
      </c>
      <c r="C4154" s="5">
        <v>45531</v>
      </c>
      <c r="D4154">
        <v>30</v>
      </c>
      <c r="E4154">
        <f>WEEKNUM(Append321[[#This Row],[Date]])</f>
        <v>35</v>
      </c>
    </row>
    <row r="4155" spans="1:5">
      <c r="A4155" t="s">
        <v>114</v>
      </c>
      <c r="B4155" t="s">
        <v>109</v>
      </c>
      <c r="C4155" s="5">
        <v>45532</v>
      </c>
      <c r="D4155">
        <v>25</v>
      </c>
      <c r="E4155">
        <f>WEEKNUM(Append321[[#This Row],[Date]])</f>
        <v>35</v>
      </c>
    </row>
    <row r="4156" spans="1:5">
      <c r="A4156" t="s">
        <v>114</v>
      </c>
      <c r="B4156" t="s">
        <v>109</v>
      </c>
      <c r="C4156" s="5">
        <v>45533</v>
      </c>
      <c r="D4156">
        <v>28</v>
      </c>
      <c r="E4156">
        <f>WEEKNUM(Append321[[#This Row],[Date]])</f>
        <v>35</v>
      </c>
    </row>
    <row r="4157" spans="1:5">
      <c r="A4157" t="s">
        <v>114</v>
      </c>
      <c r="B4157" t="s">
        <v>109</v>
      </c>
      <c r="C4157" s="5">
        <v>45534</v>
      </c>
      <c r="D4157">
        <v>30</v>
      </c>
      <c r="E4157">
        <f>WEEKNUM(Append321[[#This Row],[Date]])</f>
        <v>35</v>
      </c>
    </row>
    <row r="4158" spans="1:5">
      <c r="A4158" t="s">
        <v>114</v>
      </c>
      <c r="B4158" t="s">
        <v>109</v>
      </c>
      <c r="C4158" s="5">
        <v>45535</v>
      </c>
      <c r="D4158">
        <v>28</v>
      </c>
      <c r="E4158">
        <f>WEEKNUM(Append321[[#This Row],[Date]])</f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O1000"/>
  <sheetViews>
    <sheetView zoomScaleNormal="100" workbookViewId="0">
      <pane xSplit="1" topLeftCell="B1" activePane="topRight" state="frozen"/>
      <selection pane="topRight" activeCell="A97" sqref="A97:CO114"/>
    </sheetView>
  </sheetViews>
  <sheetFormatPr defaultColWidth="12.5703125" defaultRowHeight="15" customHeight="1"/>
  <cols>
    <col min="1" max="1" width="50.28515625" customWidth="1"/>
    <col min="2" max="6" width="12.5703125" customWidth="1"/>
    <col min="11" max="93" width="13.140625" customWidth="1"/>
  </cols>
  <sheetData>
    <row r="1" spans="1:93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</row>
    <row r="2" spans="1:93" ht="15.75" customHeight="1">
      <c r="A2" s="2" t="s">
        <v>0</v>
      </c>
      <c r="B2" s="1" t="s">
        <v>115</v>
      </c>
      <c r="C2" s="1" t="s">
        <v>116</v>
      </c>
      <c r="D2" s="1" t="s">
        <v>117</v>
      </c>
      <c r="E2" s="1" t="s">
        <v>118</v>
      </c>
      <c r="F2" s="1" t="s">
        <v>119</v>
      </c>
      <c r="G2" s="1" t="s">
        <v>120</v>
      </c>
      <c r="H2" s="1" t="s">
        <v>121</v>
      </c>
      <c r="I2" s="1" t="s">
        <v>122</v>
      </c>
      <c r="J2" s="1" t="s">
        <v>123</v>
      </c>
      <c r="K2" s="1" t="s">
        <v>124</v>
      </c>
      <c r="L2" s="1" t="s">
        <v>125</v>
      </c>
      <c r="M2" s="1" t="s">
        <v>126</v>
      </c>
      <c r="N2" s="1" t="s">
        <v>127</v>
      </c>
      <c r="O2" s="1" t="s">
        <v>128</v>
      </c>
      <c r="P2" s="1" t="s">
        <v>129</v>
      </c>
      <c r="Q2" s="1" t="s">
        <v>130</v>
      </c>
      <c r="R2" s="1" t="s">
        <v>131</v>
      </c>
      <c r="S2" s="1" t="s">
        <v>132</v>
      </c>
      <c r="T2" s="1" t="s">
        <v>133</v>
      </c>
      <c r="U2" s="1" t="s">
        <v>134</v>
      </c>
      <c r="V2" s="1" t="s">
        <v>135</v>
      </c>
      <c r="W2" s="1" t="s">
        <v>136</v>
      </c>
      <c r="X2" s="1" t="s">
        <v>137</v>
      </c>
      <c r="Y2" s="1" t="s">
        <v>138</v>
      </c>
      <c r="Z2" s="1" t="s">
        <v>139</v>
      </c>
      <c r="AA2" s="1" t="s">
        <v>140</v>
      </c>
      <c r="AB2" s="1" t="s">
        <v>141</v>
      </c>
      <c r="AC2" s="1" t="s">
        <v>142</v>
      </c>
      <c r="AD2" s="1" t="s">
        <v>143</v>
      </c>
      <c r="AE2" s="1" t="s">
        <v>144</v>
      </c>
      <c r="AF2" s="1" t="s">
        <v>145</v>
      </c>
      <c r="AG2" s="1" t="s">
        <v>146</v>
      </c>
      <c r="AH2" s="1" t="s">
        <v>147</v>
      </c>
      <c r="AI2" s="1" t="s">
        <v>148</v>
      </c>
      <c r="AJ2" s="1" t="s">
        <v>149</v>
      </c>
      <c r="AK2" s="1" t="s">
        <v>150</v>
      </c>
      <c r="AL2" s="1" t="s">
        <v>151</v>
      </c>
      <c r="AM2" s="1" t="s">
        <v>152</v>
      </c>
      <c r="AN2" s="1" t="s">
        <v>153</v>
      </c>
      <c r="AO2" s="1" t="s">
        <v>154</v>
      </c>
      <c r="AP2" s="1" t="s">
        <v>155</v>
      </c>
      <c r="AQ2" s="1" t="s">
        <v>156</v>
      </c>
      <c r="AR2" s="1" t="s">
        <v>157</v>
      </c>
      <c r="AS2" s="1" t="s">
        <v>158</v>
      </c>
      <c r="AT2" s="1" t="s">
        <v>159</v>
      </c>
      <c r="AU2" s="1" t="s">
        <v>160</v>
      </c>
      <c r="AV2" s="1" t="s">
        <v>161</v>
      </c>
      <c r="AW2" s="1" t="s">
        <v>162</v>
      </c>
      <c r="AX2" s="1" t="s">
        <v>163</v>
      </c>
      <c r="AY2" s="1" t="s">
        <v>164</v>
      </c>
      <c r="AZ2" s="1" t="s">
        <v>165</v>
      </c>
      <c r="BA2" s="1" t="s">
        <v>166</v>
      </c>
      <c r="BB2" s="1" t="s">
        <v>167</v>
      </c>
      <c r="BC2" s="1" t="s">
        <v>168</v>
      </c>
      <c r="BD2" s="1" t="s">
        <v>169</v>
      </c>
      <c r="BE2" s="1" t="s">
        <v>170</v>
      </c>
      <c r="BF2" s="1" t="s">
        <v>171</v>
      </c>
      <c r="BG2" s="1" t="s">
        <v>172</v>
      </c>
      <c r="BH2" s="1" t="s">
        <v>173</v>
      </c>
      <c r="BI2" s="1" t="s">
        <v>174</v>
      </c>
      <c r="BJ2" s="1" t="s">
        <v>175</v>
      </c>
      <c r="BK2" s="1" t="s">
        <v>176</v>
      </c>
      <c r="BL2" s="1" t="s">
        <v>177</v>
      </c>
      <c r="BM2" s="1" t="s">
        <v>178</v>
      </c>
      <c r="BN2" s="1" t="s">
        <v>179</v>
      </c>
      <c r="BO2" s="1" t="s">
        <v>180</v>
      </c>
      <c r="BP2" s="1" t="s">
        <v>181</v>
      </c>
      <c r="BQ2" s="1" t="s">
        <v>182</v>
      </c>
      <c r="BR2" s="1" t="s">
        <v>183</v>
      </c>
      <c r="BS2" s="1" t="s">
        <v>184</v>
      </c>
      <c r="BT2" s="1" t="s">
        <v>185</v>
      </c>
      <c r="BU2" s="1" t="s">
        <v>186</v>
      </c>
      <c r="BV2" s="1" t="s">
        <v>187</v>
      </c>
      <c r="BW2" s="1" t="s">
        <v>188</v>
      </c>
      <c r="BX2" s="1" t="s">
        <v>189</v>
      </c>
      <c r="BY2" s="1" t="s">
        <v>190</v>
      </c>
      <c r="BZ2" s="1" t="s">
        <v>191</v>
      </c>
      <c r="CA2" s="1" t="s">
        <v>192</v>
      </c>
      <c r="CB2" s="1" t="s">
        <v>193</v>
      </c>
      <c r="CC2" s="1" t="s">
        <v>194</v>
      </c>
      <c r="CD2" s="1" t="s">
        <v>195</v>
      </c>
      <c r="CE2" s="1" t="s">
        <v>196</v>
      </c>
      <c r="CF2" s="1" t="s">
        <v>197</v>
      </c>
      <c r="CG2" s="1" t="s">
        <v>198</v>
      </c>
      <c r="CH2" s="1" t="s">
        <v>199</v>
      </c>
      <c r="CI2" s="1" t="s">
        <v>200</v>
      </c>
      <c r="CJ2" s="1" t="s">
        <v>201</v>
      </c>
      <c r="CK2" s="1" t="s">
        <v>202</v>
      </c>
      <c r="CL2" s="1" t="s">
        <v>203</v>
      </c>
      <c r="CM2" s="1" t="s">
        <v>204</v>
      </c>
      <c r="CN2" s="1" t="s">
        <v>205</v>
      </c>
      <c r="CO2" s="1" t="s">
        <v>206</v>
      </c>
    </row>
    <row r="3" spans="1:93" ht="15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3" t="s">
        <v>67</v>
      </c>
      <c r="BP3" s="3" t="s">
        <v>68</v>
      </c>
      <c r="BQ3" s="3" t="s">
        <v>69</v>
      </c>
      <c r="BR3" s="3" t="s">
        <v>70</v>
      </c>
      <c r="BS3" s="3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  <c r="CJ3" s="3" t="s">
        <v>88</v>
      </c>
      <c r="CK3" s="3" t="s">
        <v>89</v>
      </c>
      <c r="CL3" s="3" t="s">
        <v>90</v>
      </c>
      <c r="CM3" s="3" t="s">
        <v>91</v>
      </c>
      <c r="CN3" s="3" t="s">
        <v>92</v>
      </c>
      <c r="CO3" s="3" t="s">
        <v>93</v>
      </c>
    </row>
    <row r="4" spans="1:93" ht="15.75" customHeight="1">
      <c r="A4" s="1" t="s">
        <v>94</v>
      </c>
      <c r="B4" s="4">
        <v>257</v>
      </c>
      <c r="C4" s="4">
        <v>255</v>
      </c>
      <c r="D4" s="4">
        <v>254</v>
      </c>
      <c r="E4" s="4">
        <v>173</v>
      </c>
      <c r="F4" s="4">
        <v>160</v>
      </c>
      <c r="G4" s="4">
        <v>173</v>
      </c>
      <c r="H4" s="4">
        <v>147</v>
      </c>
      <c r="I4" s="4">
        <v>178</v>
      </c>
      <c r="J4" s="4">
        <v>107</v>
      </c>
      <c r="K4" s="4">
        <v>145</v>
      </c>
      <c r="L4" s="4">
        <v>156</v>
      </c>
      <c r="M4" s="4">
        <v>145</v>
      </c>
      <c r="N4" s="4">
        <v>139</v>
      </c>
      <c r="O4" s="4">
        <v>165</v>
      </c>
      <c r="P4" s="4">
        <v>191</v>
      </c>
      <c r="Q4" s="4">
        <v>182</v>
      </c>
      <c r="R4" s="4">
        <v>151</v>
      </c>
      <c r="S4" s="4">
        <v>185</v>
      </c>
      <c r="T4" s="4">
        <v>192</v>
      </c>
      <c r="U4" s="4">
        <v>172</v>
      </c>
      <c r="V4" s="4">
        <v>145</v>
      </c>
      <c r="W4" s="4">
        <v>134</v>
      </c>
      <c r="X4" s="4">
        <v>130</v>
      </c>
      <c r="Y4" s="4">
        <v>161</v>
      </c>
      <c r="Z4" s="4">
        <v>165</v>
      </c>
      <c r="AA4" s="4">
        <v>168</v>
      </c>
      <c r="AB4" s="4">
        <v>167</v>
      </c>
      <c r="AC4" s="4">
        <v>153</v>
      </c>
      <c r="AD4" s="4">
        <v>147</v>
      </c>
      <c r="AE4" s="4">
        <v>171</v>
      </c>
      <c r="AF4" s="4">
        <v>153</v>
      </c>
      <c r="AG4" s="4">
        <v>169</v>
      </c>
      <c r="AH4" s="4">
        <v>166</v>
      </c>
      <c r="AI4" s="4">
        <v>160</v>
      </c>
      <c r="AJ4" s="4">
        <v>156</v>
      </c>
      <c r="AK4" s="4">
        <v>165</v>
      </c>
      <c r="AL4" s="4">
        <v>151</v>
      </c>
      <c r="AM4" s="4">
        <v>163</v>
      </c>
      <c r="AN4" s="4">
        <v>158</v>
      </c>
      <c r="AO4" s="4">
        <v>174</v>
      </c>
      <c r="AP4" s="4">
        <v>208</v>
      </c>
      <c r="AQ4" s="4">
        <v>202</v>
      </c>
      <c r="AR4" s="4">
        <v>201</v>
      </c>
      <c r="AS4" s="4">
        <v>198</v>
      </c>
      <c r="AT4" s="4">
        <v>211</v>
      </c>
      <c r="AU4" s="4">
        <v>188</v>
      </c>
      <c r="AV4" s="4">
        <v>239</v>
      </c>
      <c r="AW4" s="4">
        <v>169</v>
      </c>
      <c r="AX4" s="4">
        <v>213</v>
      </c>
      <c r="AY4" s="4">
        <v>200</v>
      </c>
      <c r="AZ4" s="4">
        <v>188</v>
      </c>
      <c r="BA4" s="4">
        <v>196</v>
      </c>
      <c r="BB4" s="4">
        <v>220</v>
      </c>
      <c r="BC4" s="4">
        <v>222</v>
      </c>
      <c r="BD4" s="4">
        <v>169</v>
      </c>
      <c r="BE4" s="4">
        <v>177</v>
      </c>
      <c r="BF4" s="4">
        <v>186</v>
      </c>
      <c r="BG4" s="4">
        <v>213</v>
      </c>
      <c r="BH4" s="4">
        <v>208</v>
      </c>
      <c r="BI4" s="4">
        <v>216</v>
      </c>
      <c r="BJ4" s="4">
        <v>225</v>
      </c>
      <c r="BK4" s="4">
        <v>251</v>
      </c>
      <c r="BL4" s="4">
        <v>244</v>
      </c>
      <c r="BM4" s="4">
        <v>251</v>
      </c>
      <c r="BN4" s="4">
        <v>251</v>
      </c>
      <c r="BO4" s="4">
        <v>270</v>
      </c>
      <c r="BP4" s="4">
        <v>230</v>
      </c>
      <c r="BQ4" s="4">
        <v>266</v>
      </c>
      <c r="BR4" s="4">
        <v>253</v>
      </c>
      <c r="BS4" s="4">
        <v>198</v>
      </c>
      <c r="BT4" s="4">
        <v>290</v>
      </c>
      <c r="BU4" s="4">
        <v>267</v>
      </c>
      <c r="BV4" s="4">
        <v>296</v>
      </c>
      <c r="BW4" s="4">
        <v>280</v>
      </c>
      <c r="BX4" s="4">
        <v>326</v>
      </c>
      <c r="BY4" s="4">
        <v>318</v>
      </c>
      <c r="BZ4" s="4">
        <v>264</v>
      </c>
      <c r="CA4" s="4">
        <v>249</v>
      </c>
      <c r="CB4" s="4">
        <v>258</v>
      </c>
      <c r="CC4" s="4">
        <v>236</v>
      </c>
      <c r="CD4" s="4">
        <v>274</v>
      </c>
      <c r="CE4" s="4">
        <v>290</v>
      </c>
      <c r="CF4" s="4">
        <v>275</v>
      </c>
      <c r="CG4" s="4">
        <v>261</v>
      </c>
      <c r="CH4" s="4">
        <v>296</v>
      </c>
      <c r="CI4" s="4">
        <v>240</v>
      </c>
      <c r="CJ4" s="4">
        <v>285</v>
      </c>
      <c r="CK4" s="4">
        <v>205</v>
      </c>
      <c r="CL4" s="4">
        <v>257</v>
      </c>
      <c r="CM4" s="4">
        <v>218</v>
      </c>
      <c r="CN4" s="4">
        <v>188</v>
      </c>
      <c r="CO4" s="4">
        <v>247</v>
      </c>
    </row>
    <row r="5" spans="1:93" ht="15.75" customHeight="1">
      <c r="A5" s="1" t="s">
        <v>95</v>
      </c>
      <c r="B5" s="1">
        <v>221</v>
      </c>
      <c r="C5" s="1">
        <v>219</v>
      </c>
      <c r="D5" s="1">
        <v>252</v>
      </c>
      <c r="E5" s="1">
        <v>232</v>
      </c>
      <c r="F5" s="1">
        <v>239</v>
      </c>
      <c r="G5" s="1">
        <v>208</v>
      </c>
      <c r="H5" s="1">
        <v>223</v>
      </c>
      <c r="I5" s="1">
        <v>212</v>
      </c>
      <c r="J5" s="1">
        <v>218</v>
      </c>
      <c r="K5" s="1">
        <v>200</v>
      </c>
      <c r="L5" s="1">
        <v>226</v>
      </c>
      <c r="M5" s="1">
        <v>242</v>
      </c>
      <c r="N5" s="1">
        <v>245</v>
      </c>
      <c r="O5" s="1">
        <v>197</v>
      </c>
      <c r="P5" s="1">
        <v>227</v>
      </c>
      <c r="Q5" s="1">
        <v>220</v>
      </c>
      <c r="R5" s="1">
        <v>224</v>
      </c>
      <c r="S5" s="1">
        <v>222</v>
      </c>
      <c r="T5" s="1">
        <v>199</v>
      </c>
      <c r="U5" s="1">
        <v>214</v>
      </c>
      <c r="V5" s="1">
        <v>217</v>
      </c>
      <c r="W5" s="1">
        <v>205</v>
      </c>
      <c r="X5" s="1">
        <v>204</v>
      </c>
      <c r="Y5" s="1">
        <v>250</v>
      </c>
      <c r="Z5" s="1">
        <v>249</v>
      </c>
      <c r="AA5" s="1">
        <v>232</v>
      </c>
      <c r="AB5" s="1">
        <v>217</v>
      </c>
      <c r="AC5" s="1">
        <v>232</v>
      </c>
      <c r="AD5" s="1">
        <v>220</v>
      </c>
      <c r="AE5" s="1">
        <v>209</v>
      </c>
      <c r="AF5" s="1">
        <v>227</v>
      </c>
      <c r="AG5" s="1">
        <v>240</v>
      </c>
      <c r="AH5" s="1">
        <v>230</v>
      </c>
      <c r="AI5" s="1">
        <v>223</v>
      </c>
      <c r="AJ5" s="1">
        <v>221</v>
      </c>
      <c r="AK5" s="1">
        <v>220</v>
      </c>
      <c r="AL5" s="1">
        <v>195</v>
      </c>
      <c r="AM5" s="1">
        <v>191</v>
      </c>
      <c r="AN5" s="1">
        <v>226</v>
      </c>
      <c r="AO5" s="1">
        <v>239</v>
      </c>
      <c r="AP5" s="1">
        <v>285</v>
      </c>
      <c r="AQ5" s="1">
        <v>267</v>
      </c>
      <c r="AR5" s="1">
        <v>281</v>
      </c>
      <c r="AS5" s="1">
        <v>269</v>
      </c>
      <c r="AT5" s="1">
        <v>303</v>
      </c>
      <c r="AU5" s="1">
        <v>303</v>
      </c>
      <c r="AV5" s="1">
        <v>315</v>
      </c>
      <c r="AW5" s="1">
        <v>269</v>
      </c>
      <c r="AX5" s="1">
        <v>231</v>
      </c>
      <c r="AY5" s="1">
        <v>285</v>
      </c>
      <c r="AZ5" s="1">
        <v>285</v>
      </c>
      <c r="BA5" s="1">
        <v>312</v>
      </c>
      <c r="BB5" s="1">
        <v>308</v>
      </c>
      <c r="BC5" s="1">
        <v>313</v>
      </c>
      <c r="BD5" s="1">
        <v>265</v>
      </c>
      <c r="BE5" s="1">
        <v>299</v>
      </c>
      <c r="BF5" s="1">
        <v>284</v>
      </c>
      <c r="BG5" s="1">
        <v>282</v>
      </c>
      <c r="BH5" s="1">
        <v>298</v>
      </c>
      <c r="BI5" s="1">
        <v>316</v>
      </c>
      <c r="BJ5" s="1">
        <v>329</v>
      </c>
      <c r="BK5" s="1">
        <v>304</v>
      </c>
      <c r="BL5" s="1">
        <v>294</v>
      </c>
      <c r="BM5" s="1">
        <v>363</v>
      </c>
      <c r="BN5" s="1">
        <v>316</v>
      </c>
      <c r="BO5" s="1">
        <v>368</v>
      </c>
      <c r="BP5" s="1">
        <v>339</v>
      </c>
      <c r="BQ5" s="1">
        <v>351</v>
      </c>
      <c r="BR5" s="1">
        <v>326</v>
      </c>
      <c r="BS5" s="1">
        <v>278</v>
      </c>
      <c r="BT5" s="1">
        <v>401</v>
      </c>
      <c r="BU5" s="1">
        <v>321</v>
      </c>
      <c r="BV5" s="1">
        <v>318</v>
      </c>
      <c r="BW5" s="1">
        <v>360</v>
      </c>
      <c r="BX5" s="1">
        <v>349</v>
      </c>
      <c r="BY5" s="1">
        <v>304</v>
      </c>
      <c r="BZ5" s="1">
        <v>289</v>
      </c>
      <c r="CA5" s="1">
        <v>321</v>
      </c>
      <c r="CB5" s="1">
        <v>272</v>
      </c>
      <c r="CC5" s="1">
        <v>316</v>
      </c>
      <c r="CD5" s="1">
        <v>282</v>
      </c>
      <c r="CE5" s="1">
        <v>320</v>
      </c>
      <c r="CF5" s="1">
        <v>298</v>
      </c>
      <c r="CG5" s="1">
        <v>334</v>
      </c>
      <c r="CH5" s="1">
        <v>328</v>
      </c>
      <c r="CI5" s="1">
        <v>282</v>
      </c>
      <c r="CJ5" s="1">
        <v>286</v>
      </c>
      <c r="CK5" s="1">
        <v>276</v>
      </c>
      <c r="CL5" s="1">
        <v>279</v>
      </c>
      <c r="CM5" s="1">
        <v>278</v>
      </c>
      <c r="CN5" s="1">
        <v>260</v>
      </c>
      <c r="CO5" s="1">
        <v>300</v>
      </c>
    </row>
    <row r="6" spans="1:93" ht="15.75" customHeight="1">
      <c r="A6" s="1" t="s">
        <v>96</v>
      </c>
      <c r="B6" s="1">
        <v>397</v>
      </c>
      <c r="C6" s="1">
        <v>388</v>
      </c>
      <c r="D6" s="1">
        <v>401</v>
      </c>
      <c r="E6" s="1">
        <v>452</v>
      </c>
      <c r="F6" s="1">
        <v>404</v>
      </c>
      <c r="G6" s="1">
        <v>451</v>
      </c>
      <c r="H6" s="1">
        <v>427</v>
      </c>
      <c r="I6" s="1">
        <v>435</v>
      </c>
      <c r="J6" s="1">
        <v>362</v>
      </c>
      <c r="K6" s="1">
        <v>394</v>
      </c>
      <c r="L6" s="1">
        <v>389</v>
      </c>
      <c r="M6" s="1">
        <v>435</v>
      </c>
      <c r="N6" s="1">
        <v>384</v>
      </c>
      <c r="O6" s="1">
        <v>390</v>
      </c>
      <c r="P6" s="1">
        <v>482</v>
      </c>
      <c r="Q6" s="1">
        <v>431</v>
      </c>
      <c r="R6" s="1">
        <v>361</v>
      </c>
      <c r="S6" s="1">
        <v>423</v>
      </c>
      <c r="T6" s="1">
        <v>385</v>
      </c>
      <c r="U6" s="1">
        <v>365</v>
      </c>
      <c r="V6" s="1">
        <v>444</v>
      </c>
      <c r="W6" s="1">
        <v>423</v>
      </c>
      <c r="X6" s="1">
        <v>365</v>
      </c>
      <c r="Y6" s="1">
        <v>357</v>
      </c>
      <c r="Z6" s="1">
        <v>416</v>
      </c>
      <c r="AA6" s="1">
        <v>380</v>
      </c>
      <c r="AB6" s="1">
        <v>364</v>
      </c>
      <c r="AC6" s="1">
        <v>371</v>
      </c>
      <c r="AD6" s="1">
        <v>349</v>
      </c>
      <c r="AE6" s="1">
        <v>336</v>
      </c>
      <c r="AF6" s="1">
        <v>362</v>
      </c>
      <c r="AG6" s="1">
        <v>395</v>
      </c>
      <c r="AH6" s="1">
        <v>389</v>
      </c>
      <c r="AI6" s="1">
        <v>392</v>
      </c>
      <c r="AJ6" s="1">
        <v>376</v>
      </c>
      <c r="AK6" s="1">
        <v>443</v>
      </c>
      <c r="AL6" s="1">
        <v>423</v>
      </c>
      <c r="AM6" s="1">
        <v>378</v>
      </c>
      <c r="AN6" s="1">
        <v>388</v>
      </c>
      <c r="AO6" s="1">
        <v>471</v>
      </c>
      <c r="AP6" s="1">
        <v>541</v>
      </c>
      <c r="AQ6" s="1">
        <v>475</v>
      </c>
      <c r="AR6" s="1">
        <v>536</v>
      </c>
      <c r="AS6" s="1">
        <v>467</v>
      </c>
      <c r="AT6" s="1">
        <v>521</v>
      </c>
      <c r="AU6" s="1">
        <v>493</v>
      </c>
      <c r="AV6" s="1">
        <v>568</v>
      </c>
      <c r="AW6" s="1">
        <v>501</v>
      </c>
      <c r="AX6" s="1">
        <v>572</v>
      </c>
      <c r="AY6" s="1">
        <v>540</v>
      </c>
      <c r="AZ6" s="1">
        <v>478</v>
      </c>
      <c r="BA6" s="1">
        <v>589</v>
      </c>
      <c r="BB6" s="1">
        <v>485</v>
      </c>
      <c r="BC6" s="1">
        <v>552</v>
      </c>
      <c r="BD6" s="1">
        <v>469</v>
      </c>
      <c r="BE6" s="1">
        <v>531</v>
      </c>
      <c r="BF6" s="1">
        <v>468</v>
      </c>
      <c r="BG6" s="1">
        <v>531</v>
      </c>
      <c r="BH6" s="1">
        <v>543</v>
      </c>
      <c r="BI6" s="1">
        <v>538</v>
      </c>
      <c r="BJ6" s="1">
        <v>578</v>
      </c>
      <c r="BK6" s="1">
        <v>524</v>
      </c>
      <c r="BL6" s="1">
        <v>565</v>
      </c>
      <c r="BM6" s="1">
        <v>753</v>
      </c>
      <c r="BN6" s="1">
        <v>647</v>
      </c>
      <c r="BO6" s="1">
        <v>640</v>
      </c>
      <c r="BP6" s="1">
        <v>642</v>
      </c>
      <c r="BQ6" s="1">
        <v>665</v>
      </c>
      <c r="BR6" s="1">
        <v>511</v>
      </c>
      <c r="BS6" s="1">
        <v>498</v>
      </c>
      <c r="BT6" s="1">
        <v>727</v>
      </c>
      <c r="BU6" s="1">
        <v>582</v>
      </c>
      <c r="BV6" s="1">
        <v>586</v>
      </c>
      <c r="BW6" s="1">
        <v>623</v>
      </c>
      <c r="BX6" s="1">
        <v>666</v>
      </c>
      <c r="BY6" s="1">
        <v>655</v>
      </c>
      <c r="BZ6" s="1">
        <v>551</v>
      </c>
      <c r="CA6" s="1">
        <v>598</v>
      </c>
      <c r="CB6" s="1">
        <v>595</v>
      </c>
      <c r="CC6" s="1">
        <v>584</v>
      </c>
      <c r="CD6" s="1">
        <v>589</v>
      </c>
      <c r="CE6" s="1">
        <v>585</v>
      </c>
      <c r="CF6" s="1">
        <v>571</v>
      </c>
      <c r="CG6" s="1">
        <v>590</v>
      </c>
      <c r="CH6" s="1">
        <v>625</v>
      </c>
      <c r="CI6" s="1">
        <v>544</v>
      </c>
      <c r="CJ6" s="1">
        <v>491</v>
      </c>
      <c r="CK6" s="1">
        <v>532</v>
      </c>
      <c r="CL6" s="1">
        <v>562</v>
      </c>
      <c r="CM6" s="1">
        <v>495</v>
      </c>
      <c r="CN6" s="1">
        <v>512</v>
      </c>
      <c r="CO6" s="1">
        <v>540</v>
      </c>
    </row>
    <row r="7" spans="1:93" ht="15.75" customHeight="1">
      <c r="A7" s="1" t="s">
        <v>97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>
        <v>1</v>
      </c>
      <c r="CA7" s="1">
        <v>6</v>
      </c>
      <c r="CB7" s="1">
        <v>13</v>
      </c>
      <c r="CC7" s="1">
        <v>31</v>
      </c>
      <c r="CD7" s="1">
        <v>35</v>
      </c>
      <c r="CE7" s="1">
        <v>40</v>
      </c>
      <c r="CF7" s="1">
        <v>53</v>
      </c>
      <c r="CG7" s="1">
        <v>61</v>
      </c>
      <c r="CH7" s="1">
        <v>82</v>
      </c>
      <c r="CI7" s="1">
        <v>80</v>
      </c>
      <c r="CJ7" s="1">
        <v>72</v>
      </c>
      <c r="CK7" s="1">
        <v>121</v>
      </c>
      <c r="CL7" s="1">
        <v>108</v>
      </c>
      <c r="CM7" s="1">
        <v>152</v>
      </c>
      <c r="CN7" s="1">
        <v>154</v>
      </c>
      <c r="CO7" s="1">
        <v>208</v>
      </c>
    </row>
    <row r="8" spans="1:93" ht="15.75" customHeight="1">
      <c r="A8" s="1" t="s">
        <v>98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>
        <v>1</v>
      </c>
      <c r="CA8" s="1">
        <v>2</v>
      </c>
      <c r="CB8" s="1">
        <v>15</v>
      </c>
      <c r="CC8" s="1">
        <v>40</v>
      </c>
      <c r="CD8" s="1">
        <v>52</v>
      </c>
      <c r="CE8" s="1">
        <v>59</v>
      </c>
      <c r="CF8" s="1">
        <v>33</v>
      </c>
      <c r="CG8" s="1">
        <v>41</v>
      </c>
      <c r="CH8" s="1">
        <v>59</v>
      </c>
      <c r="CI8" s="1">
        <v>56</v>
      </c>
      <c r="CJ8" s="1">
        <v>59</v>
      </c>
      <c r="CK8" s="1">
        <v>59</v>
      </c>
      <c r="CL8" s="1">
        <v>74</v>
      </c>
      <c r="CM8" s="1">
        <v>112</v>
      </c>
      <c r="CN8" s="1">
        <v>119</v>
      </c>
      <c r="CO8" s="1">
        <v>147</v>
      </c>
    </row>
    <row r="9" spans="1:93" ht="15.75" customHeight="1">
      <c r="A9" s="1" t="s">
        <v>99</v>
      </c>
      <c r="B9" s="1">
        <v>341</v>
      </c>
      <c r="C9" s="1">
        <v>295</v>
      </c>
      <c r="D9" s="1">
        <v>277</v>
      </c>
      <c r="E9" s="1">
        <v>295</v>
      </c>
      <c r="F9" s="1">
        <v>266</v>
      </c>
      <c r="G9" s="1">
        <v>360</v>
      </c>
      <c r="H9" s="1">
        <v>390</v>
      </c>
      <c r="I9" s="1">
        <v>463</v>
      </c>
      <c r="J9" s="1">
        <v>343</v>
      </c>
      <c r="K9" s="1">
        <v>391</v>
      </c>
      <c r="L9" s="1">
        <v>437</v>
      </c>
      <c r="M9" s="1">
        <v>514</v>
      </c>
      <c r="N9" s="1">
        <v>434</v>
      </c>
      <c r="O9" s="1">
        <v>496</v>
      </c>
      <c r="P9" s="1">
        <v>430</v>
      </c>
      <c r="Q9" s="1">
        <v>339</v>
      </c>
      <c r="R9" s="1">
        <v>283</v>
      </c>
      <c r="S9" s="1">
        <v>318</v>
      </c>
      <c r="T9" s="1">
        <v>290</v>
      </c>
      <c r="U9" s="1">
        <v>277</v>
      </c>
      <c r="V9" s="1">
        <v>317</v>
      </c>
      <c r="W9" s="1">
        <v>322</v>
      </c>
      <c r="X9" s="1">
        <v>274</v>
      </c>
      <c r="Y9" s="1">
        <v>253</v>
      </c>
      <c r="Z9" s="1">
        <v>254</v>
      </c>
      <c r="AA9" s="1">
        <v>279</v>
      </c>
      <c r="AB9" s="1">
        <v>268</v>
      </c>
      <c r="AC9" s="1">
        <v>325</v>
      </c>
      <c r="AD9" s="1">
        <v>280</v>
      </c>
      <c r="AE9" s="1">
        <v>213</v>
      </c>
      <c r="AF9" s="1">
        <v>259</v>
      </c>
      <c r="AG9" s="1">
        <v>277</v>
      </c>
      <c r="AH9" s="1">
        <v>318</v>
      </c>
      <c r="AI9" s="1">
        <v>279</v>
      </c>
      <c r="AJ9" s="1">
        <v>300</v>
      </c>
      <c r="AK9" s="1">
        <v>309</v>
      </c>
      <c r="AL9" s="1">
        <v>221</v>
      </c>
      <c r="AM9" s="1">
        <v>259</v>
      </c>
      <c r="AN9" s="1">
        <v>218</v>
      </c>
      <c r="AO9" s="1">
        <v>245</v>
      </c>
      <c r="AP9" s="1">
        <v>238</v>
      </c>
      <c r="AQ9" s="1">
        <v>269</v>
      </c>
      <c r="AR9" s="1">
        <v>271</v>
      </c>
      <c r="AS9" s="1">
        <v>170</v>
      </c>
      <c r="AT9" s="1">
        <v>205</v>
      </c>
      <c r="AU9" s="1">
        <v>200</v>
      </c>
      <c r="AV9" s="1">
        <v>239</v>
      </c>
      <c r="AW9" s="1">
        <v>205</v>
      </c>
      <c r="AX9" s="1">
        <v>289</v>
      </c>
      <c r="AY9" s="1">
        <v>289</v>
      </c>
      <c r="AZ9" s="1">
        <v>205</v>
      </c>
      <c r="BA9" s="1">
        <v>213</v>
      </c>
      <c r="BB9" s="1">
        <v>190</v>
      </c>
      <c r="BC9" s="1">
        <v>236</v>
      </c>
      <c r="BD9" s="1">
        <v>225</v>
      </c>
      <c r="BE9" s="1">
        <v>259</v>
      </c>
      <c r="BF9" s="1">
        <v>277</v>
      </c>
      <c r="BG9" s="1">
        <v>202</v>
      </c>
      <c r="BH9" s="1">
        <v>185</v>
      </c>
      <c r="BI9" s="1">
        <v>164</v>
      </c>
      <c r="BJ9" s="1">
        <v>187</v>
      </c>
      <c r="BK9" s="1">
        <v>209</v>
      </c>
      <c r="BL9" s="1">
        <v>262</v>
      </c>
      <c r="BM9" s="1">
        <v>249</v>
      </c>
      <c r="BN9" s="1">
        <v>199</v>
      </c>
      <c r="BO9" s="1">
        <v>206</v>
      </c>
      <c r="BP9" s="1">
        <v>206</v>
      </c>
      <c r="BQ9" s="1">
        <v>231</v>
      </c>
      <c r="BR9" s="1">
        <v>231</v>
      </c>
      <c r="BS9" s="1">
        <v>213</v>
      </c>
      <c r="BT9" s="1">
        <v>250</v>
      </c>
      <c r="BU9" s="1">
        <v>207</v>
      </c>
      <c r="BV9" s="1">
        <v>207</v>
      </c>
      <c r="BW9" s="1">
        <v>200</v>
      </c>
      <c r="BX9" s="1">
        <v>181</v>
      </c>
      <c r="BY9" s="1">
        <v>249</v>
      </c>
      <c r="BZ9" s="1">
        <v>228</v>
      </c>
      <c r="CA9" s="1">
        <v>273</v>
      </c>
      <c r="CB9" s="1">
        <v>206</v>
      </c>
      <c r="CC9" s="1">
        <v>207</v>
      </c>
      <c r="CD9" s="1">
        <v>227</v>
      </c>
      <c r="CE9" s="1">
        <v>231</v>
      </c>
      <c r="CF9" s="1">
        <v>194</v>
      </c>
      <c r="CG9" s="1">
        <v>247</v>
      </c>
      <c r="CH9" s="1">
        <v>295</v>
      </c>
      <c r="CI9" s="1">
        <v>192</v>
      </c>
      <c r="CJ9" s="1">
        <v>203</v>
      </c>
      <c r="CK9" s="1">
        <v>223</v>
      </c>
      <c r="CL9" s="1">
        <v>230</v>
      </c>
      <c r="CM9" s="1">
        <v>202</v>
      </c>
      <c r="CN9" s="1">
        <v>239</v>
      </c>
      <c r="CO9" s="1">
        <v>278</v>
      </c>
    </row>
    <row r="10" spans="1:93" ht="15.75" customHeight="1">
      <c r="A10" s="1" t="s">
        <v>100</v>
      </c>
      <c r="B10" s="1">
        <v>347</v>
      </c>
      <c r="C10" s="1">
        <v>261</v>
      </c>
      <c r="D10" s="1">
        <v>250</v>
      </c>
      <c r="E10" s="1">
        <v>229</v>
      </c>
      <c r="F10" s="1">
        <v>243</v>
      </c>
      <c r="G10" s="1">
        <v>340</v>
      </c>
      <c r="H10" s="1">
        <v>339</v>
      </c>
      <c r="I10" s="1">
        <v>409</v>
      </c>
      <c r="J10" s="1">
        <v>315</v>
      </c>
      <c r="K10" s="1">
        <v>294</v>
      </c>
      <c r="L10" s="1">
        <v>340</v>
      </c>
      <c r="M10" s="1">
        <v>385</v>
      </c>
      <c r="N10" s="1">
        <v>349</v>
      </c>
      <c r="O10" s="1">
        <v>436</v>
      </c>
      <c r="P10" s="1">
        <v>316</v>
      </c>
      <c r="Q10" s="1">
        <v>266</v>
      </c>
      <c r="R10" s="1">
        <v>217</v>
      </c>
      <c r="S10" s="1">
        <v>257</v>
      </c>
      <c r="T10" s="1">
        <v>241</v>
      </c>
      <c r="U10" s="1">
        <v>243</v>
      </c>
      <c r="V10" s="1">
        <v>274</v>
      </c>
      <c r="W10" s="1">
        <v>308</v>
      </c>
      <c r="X10" s="1">
        <v>226</v>
      </c>
      <c r="Y10" s="1">
        <v>233</v>
      </c>
      <c r="Z10" s="1">
        <v>239</v>
      </c>
      <c r="AA10" s="1">
        <v>257</v>
      </c>
      <c r="AB10" s="1">
        <v>241</v>
      </c>
      <c r="AC10" s="1">
        <v>322</v>
      </c>
      <c r="AD10" s="1">
        <v>295</v>
      </c>
      <c r="AE10" s="1">
        <v>235</v>
      </c>
      <c r="AF10" s="1">
        <v>244</v>
      </c>
      <c r="AG10" s="1">
        <v>272</v>
      </c>
      <c r="AH10" s="1">
        <v>247</v>
      </c>
      <c r="AI10" s="1">
        <v>230</v>
      </c>
      <c r="AJ10" s="1">
        <v>282</v>
      </c>
      <c r="AK10" s="1">
        <v>261</v>
      </c>
      <c r="AL10" s="1">
        <v>188</v>
      </c>
      <c r="AM10" s="1">
        <v>220</v>
      </c>
      <c r="AN10" s="1">
        <v>189</v>
      </c>
      <c r="AO10" s="1">
        <v>180</v>
      </c>
      <c r="AP10" s="1">
        <v>234</v>
      </c>
      <c r="AQ10" s="1">
        <v>260</v>
      </c>
      <c r="AR10" s="1">
        <v>265</v>
      </c>
      <c r="AS10" s="1">
        <v>189</v>
      </c>
      <c r="AT10" s="1">
        <v>183</v>
      </c>
      <c r="AU10" s="1">
        <v>176</v>
      </c>
      <c r="AV10" s="1">
        <v>179</v>
      </c>
      <c r="AW10" s="1">
        <v>193</v>
      </c>
      <c r="AX10" s="1">
        <v>250</v>
      </c>
      <c r="AY10" s="1">
        <v>227</v>
      </c>
      <c r="AZ10" s="1">
        <v>175</v>
      </c>
      <c r="BA10" s="1">
        <v>209</v>
      </c>
      <c r="BB10" s="1">
        <v>142</v>
      </c>
      <c r="BC10" s="1">
        <v>182</v>
      </c>
      <c r="BD10" s="1">
        <v>198</v>
      </c>
      <c r="BE10" s="1">
        <v>224</v>
      </c>
      <c r="BF10" s="1">
        <v>242</v>
      </c>
      <c r="BG10" s="1">
        <v>182</v>
      </c>
      <c r="BH10" s="1">
        <v>133</v>
      </c>
      <c r="BI10" s="1">
        <v>156</v>
      </c>
      <c r="BJ10" s="1">
        <v>186</v>
      </c>
      <c r="BK10" s="1">
        <v>173</v>
      </c>
      <c r="BL10" s="1">
        <v>210</v>
      </c>
      <c r="BM10" s="1">
        <v>202</v>
      </c>
      <c r="BN10" s="1">
        <v>147</v>
      </c>
      <c r="BO10" s="1">
        <v>176</v>
      </c>
      <c r="BP10" s="1">
        <v>183</v>
      </c>
      <c r="BQ10" s="1">
        <v>207</v>
      </c>
      <c r="BR10" s="1">
        <v>204</v>
      </c>
      <c r="BS10" s="1">
        <v>194</v>
      </c>
      <c r="BT10" s="1">
        <v>227</v>
      </c>
      <c r="BU10" s="1">
        <v>151</v>
      </c>
      <c r="BV10" s="1">
        <v>223</v>
      </c>
      <c r="BW10" s="1">
        <v>174</v>
      </c>
      <c r="BX10" s="1">
        <v>168</v>
      </c>
      <c r="BY10" s="1">
        <v>200</v>
      </c>
      <c r="BZ10" s="1">
        <v>182</v>
      </c>
      <c r="CA10" s="1">
        <v>219</v>
      </c>
      <c r="CB10" s="1">
        <v>155</v>
      </c>
      <c r="CC10" s="1">
        <v>169</v>
      </c>
      <c r="CD10" s="1">
        <v>198</v>
      </c>
      <c r="CE10" s="1">
        <v>202</v>
      </c>
      <c r="CF10" s="1">
        <v>199</v>
      </c>
      <c r="CG10" s="1">
        <v>204</v>
      </c>
      <c r="CH10" s="1">
        <v>214</v>
      </c>
      <c r="CI10" s="1">
        <v>171</v>
      </c>
      <c r="CJ10" s="1">
        <v>164</v>
      </c>
      <c r="CK10" s="1">
        <v>212</v>
      </c>
      <c r="CL10" s="1">
        <v>238</v>
      </c>
      <c r="CM10" s="1">
        <v>197</v>
      </c>
      <c r="CN10" s="1">
        <v>278</v>
      </c>
      <c r="CO10" s="1">
        <v>291</v>
      </c>
    </row>
    <row r="11" spans="1:93" ht="15.75" customHeight="1">
      <c r="A11" s="1" t="s">
        <v>101</v>
      </c>
      <c r="B11" s="4">
        <v>93</v>
      </c>
      <c r="C11" s="4">
        <v>73</v>
      </c>
      <c r="D11" s="4">
        <v>73</v>
      </c>
      <c r="E11" s="4">
        <v>64</v>
      </c>
      <c r="F11" s="4">
        <v>61</v>
      </c>
      <c r="G11" s="4">
        <v>71</v>
      </c>
      <c r="H11" s="4">
        <v>70</v>
      </c>
      <c r="I11" s="4">
        <v>82</v>
      </c>
      <c r="J11" s="4">
        <v>66</v>
      </c>
      <c r="K11" s="4">
        <v>65</v>
      </c>
      <c r="L11" s="4">
        <v>73</v>
      </c>
      <c r="M11" s="4">
        <v>51</v>
      </c>
      <c r="N11" s="4">
        <v>73</v>
      </c>
      <c r="O11" s="4">
        <v>81</v>
      </c>
      <c r="P11" s="4">
        <v>80</v>
      </c>
      <c r="Q11" s="4">
        <v>71</v>
      </c>
      <c r="R11" s="4">
        <v>78</v>
      </c>
      <c r="S11" s="4">
        <v>77</v>
      </c>
      <c r="T11" s="4">
        <v>49</v>
      </c>
      <c r="U11" s="4">
        <v>69</v>
      </c>
      <c r="V11" s="4">
        <v>77</v>
      </c>
      <c r="W11" s="4">
        <v>94</v>
      </c>
      <c r="X11" s="4">
        <v>60</v>
      </c>
      <c r="Y11" s="4">
        <v>80</v>
      </c>
      <c r="Z11" s="4">
        <v>55</v>
      </c>
      <c r="AA11" s="4">
        <v>71</v>
      </c>
      <c r="AB11" s="4">
        <v>81</v>
      </c>
      <c r="AC11" s="4">
        <v>96</v>
      </c>
      <c r="AD11" s="4">
        <v>91</v>
      </c>
      <c r="AE11" s="4">
        <v>97</v>
      </c>
      <c r="AF11" s="4">
        <v>89</v>
      </c>
      <c r="AG11" s="4">
        <v>73</v>
      </c>
      <c r="AH11" s="4">
        <v>97</v>
      </c>
      <c r="AI11" s="4">
        <v>92</v>
      </c>
      <c r="AJ11" s="4">
        <v>87</v>
      </c>
      <c r="AK11" s="4">
        <v>101</v>
      </c>
      <c r="AL11" s="4">
        <v>79</v>
      </c>
      <c r="AM11" s="4">
        <v>80</v>
      </c>
      <c r="AN11" s="4">
        <v>81</v>
      </c>
      <c r="AO11" s="4">
        <v>86</v>
      </c>
      <c r="AP11" s="4">
        <v>94</v>
      </c>
      <c r="AQ11" s="4">
        <v>99</v>
      </c>
      <c r="AR11" s="4">
        <v>121</v>
      </c>
      <c r="AS11" s="4">
        <v>108</v>
      </c>
      <c r="AT11" s="4">
        <v>102</v>
      </c>
      <c r="AU11" s="4">
        <v>96</v>
      </c>
      <c r="AV11" s="4">
        <v>121</v>
      </c>
      <c r="AW11" s="4">
        <v>104</v>
      </c>
      <c r="AX11" s="4">
        <v>109</v>
      </c>
      <c r="AY11" s="4">
        <v>119</v>
      </c>
      <c r="AZ11" s="4">
        <v>96</v>
      </c>
      <c r="BA11" s="4">
        <v>96</v>
      </c>
      <c r="BB11" s="4">
        <v>96</v>
      </c>
      <c r="BC11" s="4">
        <v>96</v>
      </c>
      <c r="BD11" s="4">
        <v>95</v>
      </c>
      <c r="BE11" s="4">
        <v>112</v>
      </c>
      <c r="BF11" s="4">
        <v>110</v>
      </c>
      <c r="BG11" s="4">
        <v>107</v>
      </c>
      <c r="BH11" s="4">
        <v>111</v>
      </c>
      <c r="BI11" s="4">
        <v>90</v>
      </c>
      <c r="BJ11" s="4">
        <v>110</v>
      </c>
      <c r="BK11" s="4">
        <v>135</v>
      </c>
      <c r="BL11" s="4">
        <v>148</v>
      </c>
      <c r="BM11" s="4">
        <v>166</v>
      </c>
      <c r="BN11" s="4">
        <v>126</v>
      </c>
      <c r="BO11" s="4">
        <v>162</v>
      </c>
      <c r="BP11" s="4">
        <v>145</v>
      </c>
      <c r="BQ11" s="4">
        <v>154</v>
      </c>
      <c r="BR11" s="4">
        <v>137</v>
      </c>
      <c r="BS11" s="4">
        <v>140</v>
      </c>
      <c r="BT11" s="4">
        <v>157</v>
      </c>
      <c r="BU11" s="4">
        <v>136</v>
      </c>
      <c r="BV11" s="4">
        <v>127</v>
      </c>
      <c r="BW11" s="4">
        <v>130</v>
      </c>
      <c r="BX11" s="4">
        <v>132</v>
      </c>
      <c r="BY11" s="4">
        <v>155</v>
      </c>
      <c r="BZ11" s="4">
        <v>152</v>
      </c>
      <c r="CA11" s="4">
        <v>176</v>
      </c>
      <c r="CB11" s="4">
        <v>160</v>
      </c>
      <c r="CC11" s="4">
        <v>164</v>
      </c>
      <c r="CD11" s="4">
        <v>154</v>
      </c>
      <c r="CE11" s="4">
        <v>144</v>
      </c>
      <c r="CF11" s="4">
        <v>147</v>
      </c>
      <c r="CG11" s="4">
        <v>145</v>
      </c>
      <c r="CH11" s="4">
        <v>175</v>
      </c>
      <c r="CI11" s="4">
        <v>120</v>
      </c>
      <c r="CJ11" s="4">
        <v>141</v>
      </c>
      <c r="CK11" s="4">
        <v>158</v>
      </c>
      <c r="CL11" s="4">
        <v>134</v>
      </c>
      <c r="CM11" s="4">
        <v>144</v>
      </c>
      <c r="CN11" s="4">
        <v>183</v>
      </c>
      <c r="CO11" s="4">
        <v>156</v>
      </c>
    </row>
    <row r="12" spans="1:93" ht="15.75" customHeight="1">
      <c r="A12" s="1" t="s">
        <v>102</v>
      </c>
      <c r="B12" s="1">
        <v>283</v>
      </c>
      <c r="C12" s="1">
        <v>206</v>
      </c>
      <c r="D12" s="1">
        <v>246</v>
      </c>
      <c r="E12" s="1">
        <v>260</v>
      </c>
      <c r="F12" s="1">
        <v>235</v>
      </c>
      <c r="G12" s="1">
        <v>219</v>
      </c>
      <c r="H12" s="1">
        <v>225</v>
      </c>
      <c r="I12" s="1">
        <v>248</v>
      </c>
      <c r="J12" s="1">
        <v>197</v>
      </c>
      <c r="K12" s="1">
        <v>224</v>
      </c>
      <c r="L12" s="1">
        <v>205</v>
      </c>
      <c r="M12" s="1">
        <v>206</v>
      </c>
      <c r="N12" s="1">
        <v>196</v>
      </c>
      <c r="O12" s="1">
        <v>242</v>
      </c>
      <c r="P12" s="1">
        <v>271</v>
      </c>
      <c r="Q12" s="1">
        <v>197</v>
      </c>
      <c r="R12" s="1">
        <v>232</v>
      </c>
      <c r="S12" s="1">
        <v>230</v>
      </c>
      <c r="T12" s="1">
        <v>233</v>
      </c>
      <c r="U12" s="1">
        <v>204</v>
      </c>
      <c r="V12" s="1">
        <v>212</v>
      </c>
      <c r="W12" s="1">
        <v>286</v>
      </c>
      <c r="X12" s="1">
        <v>201</v>
      </c>
      <c r="Y12" s="1">
        <v>208</v>
      </c>
      <c r="Z12" s="1">
        <v>248</v>
      </c>
      <c r="AA12" s="1">
        <v>211</v>
      </c>
      <c r="AB12" s="1">
        <v>227</v>
      </c>
      <c r="AC12" s="1">
        <v>256</v>
      </c>
      <c r="AD12" s="1">
        <v>283</v>
      </c>
      <c r="AE12" s="1">
        <v>259</v>
      </c>
      <c r="AF12" s="1">
        <v>256</v>
      </c>
      <c r="AG12" s="1">
        <v>232</v>
      </c>
      <c r="AH12" s="1">
        <v>246</v>
      </c>
      <c r="AI12" s="1">
        <v>195</v>
      </c>
      <c r="AJ12" s="1">
        <v>222</v>
      </c>
      <c r="AK12" s="1">
        <v>248</v>
      </c>
      <c r="AL12" s="1">
        <v>188</v>
      </c>
      <c r="AM12" s="1">
        <v>176</v>
      </c>
      <c r="AN12" s="1">
        <v>179</v>
      </c>
      <c r="AO12" s="1">
        <v>207</v>
      </c>
      <c r="AP12" s="1">
        <v>196</v>
      </c>
      <c r="AQ12" s="1">
        <v>228</v>
      </c>
      <c r="AR12" s="1">
        <v>255</v>
      </c>
      <c r="AS12" s="1">
        <v>200</v>
      </c>
      <c r="AT12" s="1">
        <v>207</v>
      </c>
      <c r="AU12" s="1">
        <v>204</v>
      </c>
      <c r="AV12" s="1">
        <v>271</v>
      </c>
      <c r="AW12" s="1">
        <v>212</v>
      </c>
      <c r="AX12" s="1">
        <v>242</v>
      </c>
      <c r="AY12" s="1">
        <v>265</v>
      </c>
      <c r="AZ12" s="1">
        <v>215</v>
      </c>
      <c r="BA12" s="1">
        <v>194</v>
      </c>
      <c r="BB12" s="1">
        <v>227</v>
      </c>
      <c r="BC12" s="1">
        <v>214</v>
      </c>
      <c r="BD12" s="1">
        <v>202</v>
      </c>
      <c r="BE12" s="1">
        <v>225</v>
      </c>
      <c r="BF12" s="1">
        <v>281</v>
      </c>
      <c r="BG12" s="1">
        <v>223</v>
      </c>
      <c r="BH12" s="1">
        <v>227</v>
      </c>
      <c r="BI12" s="1">
        <v>192</v>
      </c>
      <c r="BJ12" s="1">
        <v>235</v>
      </c>
      <c r="BK12" s="1">
        <v>226</v>
      </c>
      <c r="BL12" s="1">
        <v>261</v>
      </c>
      <c r="BM12" s="1">
        <v>330</v>
      </c>
      <c r="BN12" s="1">
        <v>256</v>
      </c>
      <c r="BO12" s="1">
        <v>238</v>
      </c>
      <c r="BP12" s="1">
        <v>196</v>
      </c>
      <c r="BQ12" s="1">
        <v>240</v>
      </c>
      <c r="BR12" s="1">
        <v>205</v>
      </c>
      <c r="BS12" s="1">
        <v>194</v>
      </c>
      <c r="BT12" s="1">
        <v>278</v>
      </c>
      <c r="BU12" s="1">
        <v>190</v>
      </c>
      <c r="BV12" s="1">
        <v>180</v>
      </c>
      <c r="BW12" s="1">
        <v>164</v>
      </c>
      <c r="BX12" s="1">
        <v>199</v>
      </c>
      <c r="BY12" s="1">
        <v>206</v>
      </c>
      <c r="BZ12" s="1">
        <v>218</v>
      </c>
      <c r="CA12" s="1">
        <v>199</v>
      </c>
      <c r="CB12" s="1">
        <v>183</v>
      </c>
      <c r="CC12" s="1">
        <v>157</v>
      </c>
      <c r="CD12" s="1">
        <v>180</v>
      </c>
      <c r="CE12" s="1">
        <v>190</v>
      </c>
      <c r="CF12" s="1">
        <v>180</v>
      </c>
      <c r="CG12" s="1">
        <v>192</v>
      </c>
      <c r="CH12" s="1">
        <v>213</v>
      </c>
      <c r="CI12" s="1">
        <v>148</v>
      </c>
      <c r="CJ12" s="1">
        <v>171</v>
      </c>
      <c r="CK12" s="1">
        <v>175</v>
      </c>
      <c r="CL12" s="1">
        <v>174</v>
      </c>
      <c r="CM12" s="1">
        <v>171</v>
      </c>
      <c r="CN12" s="1">
        <v>181</v>
      </c>
      <c r="CO12" s="1">
        <v>230</v>
      </c>
    </row>
    <row r="13" spans="1:93" ht="15.75" customHeight="1">
      <c r="A13" s="1" t="s">
        <v>103</v>
      </c>
      <c r="B13" s="1">
        <v>92</v>
      </c>
      <c r="C13" s="1">
        <v>67</v>
      </c>
      <c r="D13" s="1">
        <v>73</v>
      </c>
      <c r="E13" s="1">
        <v>66</v>
      </c>
      <c r="F13" s="1">
        <v>64</v>
      </c>
      <c r="G13" s="1">
        <v>65</v>
      </c>
      <c r="H13" s="1">
        <v>63</v>
      </c>
      <c r="I13" s="1">
        <v>71</v>
      </c>
      <c r="J13" s="1">
        <v>55</v>
      </c>
      <c r="K13" s="1">
        <v>61</v>
      </c>
      <c r="L13" s="1">
        <v>62</v>
      </c>
      <c r="M13" s="1">
        <v>45</v>
      </c>
      <c r="N13" s="1">
        <v>57</v>
      </c>
      <c r="O13" s="1">
        <v>71</v>
      </c>
      <c r="P13" s="1">
        <v>79</v>
      </c>
      <c r="Q13" s="1">
        <v>45</v>
      </c>
      <c r="R13" s="1">
        <v>58</v>
      </c>
      <c r="S13" s="1">
        <v>65</v>
      </c>
      <c r="T13" s="1">
        <v>70</v>
      </c>
      <c r="U13" s="1">
        <v>62</v>
      </c>
      <c r="V13" s="1">
        <v>71</v>
      </c>
      <c r="W13" s="1">
        <v>72</v>
      </c>
      <c r="X13" s="1">
        <v>53</v>
      </c>
      <c r="Y13" s="1">
        <v>64</v>
      </c>
      <c r="Z13" s="1">
        <v>69</v>
      </c>
      <c r="AA13" s="1">
        <v>74</v>
      </c>
      <c r="AB13" s="1">
        <v>67</v>
      </c>
      <c r="AC13" s="1">
        <v>85</v>
      </c>
      <c r="AD13" s="1">
        <v>79</v>
      </c>
      <c r="AE13" s="1">
        <v>83</v>
      </c>
      <c r="AF13" s="1">
        <v>98</v>
      </c>
      <c r="AG13" s="1">
        <v>108</v>
      </c>
      <c r="AH13" s="1">
        <v>66</v>
      </c>
      <c r="AI13" s="1">
        <v>63</v>
      </c>
      <c r="AJ13" s="1">
        <v>78</v>
      </c>
      <c r="AK13" s="1">
        <v>83</v>
      </c>
      <c r="AL13" s="1">
        <v>69</v>
      </c>
      <c r="AM13" s="1">
        <v>65</v>
      </c>
      <c r="AN13" s="1">
        <v>92</v>
      </c>
      <c r="AO13" s="1">
        <v>110</v>
      </c>
      <c r="AP13" s="1">
        <v>83</v>
      </c>
      <c r="AQ13" s="1">
        <v>120</v>
      </c>
      <c r="AR13" s="1">
        <v>126</v>
      </c>
      <c r="AS13" s="1">
        <v>98</v>
      </c>
      <c r="AT13" s="1">
        <v>86</v>
      </c>
      <c r="AU13" s="1">
        <v>98</v>
      </c>
      <c r="AV13" s="1">
        <v>102</v>
      </c>
      <c r="AW13" s="1">
        <v>112</v>
      </c>
      <c r="AX13" s="1">
        <v>77</v>
      </c>
      <c r="AY13" s="1">
        <v>105</v>
      </c>
      <c r="AZ13" s="1">
        <v>110</v>
      </c>
      <c r="BA13" s="1">
        <v>86</v>
      </c>
      <c r="BB13" s="1">
        <v>96</v>
      </c>
      <c r="BC13" s="1">
        <v>99</v>
      </c>
      <c r="BD13" s="1">
        <v>86</v>
      </c>
      <c r="BE13" s="1">
        <v>97</v>
      </c>
      <c r="BF13" s="1">
        <v>109</v>
      </c>
      <c r="BG13" s="1">
        <v>95</v>
      </c>
      <c r="BH13" s="1">
        <v>83</v>
      </c>
      <c r="BI13" s="1">
        <v>109</v>
      </c>
      <c r="BJ13" s="1">
        <v>95</v>
      </c>
      <c r="BK13" s="1">
        <v>107</v>
      </c>
      <c r="BL13" s="1">
        <v>138</v>
      </c>
      <c r="BM13" s="1">
        <v>157</v>
      </c>
      <c r="BN13" s="1">
        <v>117</v>
      </c>
      <c r="BO13" s="1">
        <v>118</v>
      </c>
      <c r="BP13" s="1">
        <v>136</v>
      </c>
      <c r="BQ13" s="1">
        <v>140</v>
      </c>
      <c r="BR13" s="1">
        <v>141</v>
      </c>
      <c r="BS13" s="1">
        <v>122</v>
      </c>
      <c r="BT13" s="1">
        <v>137</v>
      </c>
      <c r="BU13" s="1">
        <v>106</v>
      </c>
      <c r="BV13" s="1">
        <v>137</v>
      </c>
      <c r="BW13" s="1">
        <v>121</v>
      </c>
      <c r="BX13" s="1">
        <v>129</v>
      </c>
      <c r="BY13" s="1">
        <v>178</v>
      </c>
      <c r="BZ13" s="1">
        <v>149</v>
      </c>
      <c r="CA13" s="1">
        <v>144</v>
      </c>
      <c r="CB13" s="1">
        <v>125</v>
      </c>
      <c r="CC13" s="1">
        <v>106</v>
      </c>
      <c r="CD13" s="1">
        <v>144</v>
      </c>
      <c r="CE13" s="1">
        <v>136</v>
      </c>
      <c r="CF13" s="1">
        <v>106</v>
      </c>
      <c r="CG13" s="1">
        <v>126</v>
      </c>
      <c r="CH13" s="1">
        <v>167</v>
      </c>
      <c r="CI13" s="1">
        <v>134</v>
      </c>
      <c r="CJ13" s="1">
        <v>148</v>
      </c>
      <c r="CK13" s="1">
        <v>126</v>
      </c>
      <c r="CL13" s="1">
        <v>130</v>
      </c>
      <c r="CM13" s="1">
        <v>141</v>
      </c>
      <c r="CN13" s="1">
        <v>155</v>
      </c>
      <c r="CO13" s="1">
        <v>140</v>
      </c>
    </row>
    <row r="14" spans="1:93" ht="15.75" customHeight="1">
      <c r="A14" s="1" t="s">
        <v>104</v>
      </c>
      <c r="B14" s="1">
        <v>312</v>
      </c>
      <c r="C14" s="1">
        <v>222</v>
      </c>
      <c r="D14" s="1">
        <v>267</v>
      </c>
      <c r="E14" s="1">
        <v>225</v>
      </c>
      <c r="F14" s="1">
        <v>258</v>
      </c>
      <c r="G14" s="1">
        <v>239</v>
      </c>
      <c r="H14" s="1">
        <v>288</v>
      </c>
      <c r="I14" s="1">
        <v>254</v>
      </c>
      <c r="J14" s="1">
        <v>233</v>
      </c>
      <c r="K14" s="1">
        <v>220</v>
      </c>
      <c r="L14" s="1">
        <v>223</v>
      </c>
      <c r="M14" s="1">
        <v>209</v>
      </c>
      <c r="N14" s="1">
        <v>239</v>
      </c>
      <c r="O14" s="1">
        <v>276</v>
      </c>
      <c r="P14" s="1">
        <v>313</v>
      </c>
      <c r="Q14" s="1">
        <v>235</v>
      </c>
      <c r="R14" s="1">
        <v>240</v>
      </c>
      <c r="S14" s="1">
        <v>223</v>
      </c>
      <c r="T14" s="1">
        <v>248</v>
      </c>
      <c r="U14" s="1">
        <v>232</v>
      </c>
      <c r="V14" s="1">
        <v>274</v>
      </c>
      <c r="W14" s="1">
        <v>306</v>
      </c>
      <c r="X14" s="1">
        <v>219</v>
      </c>
      <c r="Y14" s="1">
        <v>235</v>
      </c>
      <c r="Z14" s="1">
        <v>237</v>
      </c>
      <c r="AA14" s="1">
        <v>251</v>
      </c>
      <c r="AB14" s="1">
        <v>248</v>
      </c>
      <c r="AC14" s="1">
        <v>270</v>
      </c>
      <c r="AD14" s="1">
        <v>309</v>
      </c>
      <c r="AE14" s="1">
        <v>286</v>
      </c>
      <c r="AF14" s="1">
        <v>251</v>
      </c>
      <c r="AG14" s="1">
        <v>245</v>
      </c>
      <c r="AH14" s="1">
        <v>237</v>
      </c>
      <c r="AI14" s="1">
        <v>219</v>
      </c>
      <c r="AJ14" s="1">
        <v>255</v>
      </c>
      <c r="AK14" s="1">
        <v>275</v>
      </c>
      <c r="AL14" s="1">
        <v>220</v>
      </c>
      <c r="AM14" s="1">
        <v>214</v>
      </c>
      <c r="AN14" s="1">
        <v>207</v>
      </c>
      <c r="AO14" s="1">
        <v>222</v>
      </c>
      <c r="AP14" s="1">
        <v>214</v>
      </c>
      <c r="AQ14" s="1">
        <v>226</v>
      </c>
      <c r="AR14" s="1">
        <v>276</v>
      </c>
      <c r="AS14" s="1">
        <v>214</v>
      </c>
      <c r="AT14" s="1">
        <v>190</v>
      </c>
      <c r="AU14" s="1">
        <v>193</v>
      </c>
      <c r="AV14" s="1">
        <v>274</v>
      </c>
      <c r="AW14" s="1">
        <v>223</v>
      </c>
      <c r="AX14" s="1">
        <v>244</v>
      </c>
      <c r="AY14" s="1">
        <v>247</v>
      </c>
      <c r="AZ14" s="1">
        <v>229</v>
      </c>
      <c r="BA14" s="1">
        <v>239</v>
      </c>
      <c r="BB14" s="1">
        <v>213</v>
      </c>
      <c r="BC14" s="1">
        <v>245</v>
      </c>
      <c r="BD14" s="1">
        <v>210</v>
      </c>
      <c r="BE14" s="1">
        <v>254</v>
      </c>
      <c r="BF14" s="1">
        <v>234</v>
      </c>
      <c r="BG14" s="1">
        <v>228</v>
      </c>
      <c r="BH14" s="1">
        <v>246</v>
      </c>
      <c r="BI14" s="1">
        <v>219</v>
      </c>
      <c r="BJ14" s="1">
        <v>216</v>
      </c>
      <c r="BK14" s="1">
        <v>228</v>
      </c>
      <c r="BL14" s="1">
        <v>255</v>
      </c>
      <c r="BM14" s="1">
        <v>340</v>
      </c>
      <c r="BN14" s="1">
        <v>247</v>
      </c>
      <c r="BO14" s="1">
        <v>249</v>
      </c>
      <c r="BP14" s="1">
        <v>237</v>
      </c>
      <c r="BQ14" s="1">
        <v>231</v>
      </c>
      <c r="BR14" s="1">
        <v>249</v>
      </c>
      <c r="BS14" s="1">
        <v>191</v>
      </c>
      <c r="BT14" s="1">
        <v>292</v>
      </c>
      <c r="BU14" s="1">
        <v>213</v>
      </c>
      <c r="BV14" s="1">
        <v>237</v>
      </c>
      <c r="BW14" s="1">
        <v>163</v>
      </c>
      <c r="BX14" s="1">
        <v>187</v>
      </c>
      <c r="BY14" s="1">
        <v>191</v>
      </c>
      <c r="BZ14" s="1">
        <v>202</v>
      </c>
      <c r="CA14" s="1">
        <v>192</v>
      </c>
      <c r="CB14" s="1">
        <v>186</v>
      </c>
      <c r="CC14" s="1">
        <v>276</v>
      </c>
      <c r="CD14" s="1">
        <v>235</v>
      </c>
      <c r="CE14" s="1">
        <v>277</v>
      </c>
      <c r="CF14" s="1">
        <v>242</v>
      </c>
      <c r="CG14" s="1">
        <v>312</v>
      </c>
      <c r="CH14" s="1">
        <v>294</v>
      </c>
      <c r="CI14" s="1">
        <v>243</v>
      </c>
      <c r="CJ14" s="1">
        <v>210</v>
      </c>
      <c r="CK14" s="1">
        <v>222</v>
      </c>
      <c r="CL14" s="1">
        <v>186</v>
      </c>
      <c r="CM14" s="1">
        <v>222</v>
      </c>
      <c r="CN14" s="1">
        <v>229</v>
      </c>
      <c r="CO14" s="1">
        <v>325</v>
      </c>
    </row>
    <row r="15" spans="1:93" ht="15.75" customHeight="1">
      <c r="A15" s="1" t="s">
        <v>105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>
        <v>1</v>
      </c>
      <c r="BZ15" s="1">
        <v>3</v>
      </c>
      <c r="CA15" s="1">
        <v>7</v>
      </c>
      <c r="CB15" s="1">
        <v>19</v>
      </c>
      <c r="CC15" s="1">
        <v>28</v>
      </c>
      <c r="CD15" s="1">
        <v>42</v>
      </c>
      <c r="CE15" s="1">
        <v>49</v>
      </c>
      <c r="CF15" s="1">
        <v>42</v>
      </c>
      <c r="CG15" s="1">
        <v>30</v>
      </c>
      <c r="CH15" s="1">
        <v>46</v>
      </c>
      <c r="CI15" s="1">
        <v>39</v>
      </c>
      <c r="CJ15" s="1">
        <v>41</v>
      </c>
      <c r="CK15" s="1">
        <v>44</v>
      </c>
      <c r="CL15" s="1">
        <v>51</v>
      </c>
      <c r="CM15" s="1">
        <v>48</v>
      </c>
      <c r="CN15" s="1">
        <v>54</v>
      </c>
      <c r="CO15" s="1">
        <v>40</v>
      </c>
    </row>
    <row r="16" spans="1:93" ht="15.75" customHeight="1">
      <c r="A16" s="1" t="s">
        <v>106</v>
      </c>
      <c r="B16" s="1">
        <v>148</v>
      </c>
      <c r="C16" s="1">
        <v>135</v>
      </c>
      <c r="D16" s="1">
        <v>144</v>
      </c>
      <c r="E16" s="1">
        <v>146</v>
      </c>
      <c r="F16" s="1">
        <v>172</v>
      </c>
      <c r="G16" s="1">
        <v>145</v>
      </c>
      <c r="H16" s="1">
        <v>161</v>
      </c>
      <c r="I16" s="1">
        <v>142</v>
      </c>
      <c r="J16" s="1">
        <v>151</v>
      </c>
      <c r="K16" s="1">
        <v>118</v>
      </c>
      <c r="L16" s="1">
        <v>163</v>
      </c>
      <c r="M16" s="1">
        <v>161</v>
      </c>
      <c r="N16" s="1">
        <v>127</v>
      </c>
      <c r="O16" s="1">
        <v>150</v>
      </c>
      <c r="P16" s="1">
        <v>139</v>
      </c>
      <c r="Q16" s="1">
        <v>143</v>
      </c>
      <c r="R16" s="1">
        <v>131</v>
      </c>
      <c r="S16" s="1">
        <v>150</v>
      </c>
      <c r="T16" s="1">
        <v>157</v>
      </c>
      <c r="U16" s="1">
        <v>150</v>
      </c>
      <c r="V16" s="1">
        <v>128</v>
      </c>
      <c r="W16" s="1">
        <v>137</v>
      </c>
      <c r="X16" s="1">
        <v>141</v>
      </c>
      <c r="Y16" s="1">
        <v>153</v>
      </c>
      <c r="Z16" s="1">
        <v>130</v>
      </c>
      <c r="AA16" s="1">
        <v>140</v>
      </c>
      <c r="AB16" s="1">
        <v>139</v>
      </c>
      <c r="AC16" s="1">
        <v>129</v>
      </c>
      <c r="AD16" s="1">
        <v>155</v>
      </c>
      <c r="AE16" s="1">
        <v>128</v>
      </c>
      <c r="AF16" s="1">
        <v>145</v>
      </c>
      <c r="AG16" s="1">
        <v>177</v>
      </c>
      <c r="AH16" s="1">
        <v>179</v>
      </c>
      <c r="AI16" s="1">
        <v>171</v>
      </c>
      <c r="AJ16" s="1">
        <v>166</v>
      </c>
      <c r="AK16" s="1">
        <v>148</v>
      </c>
      <c r="AL16" s="1">
        <v>142</v>
      </c>
      <c r="AM16" s="1">
        <v>134</v>
      </c>
      <c r="AN16" s="1">
        <v>139</v>
      </c>
      <c r="AO16" s="1">
        <v>209</v>
      </c>
      <c r="AP16" s="1">
        <v>147</v>
      </c>
      <c r="AQ16" s="1">
        <v>176</v>
      </c>
      <c r="AR16" s="1">
        <v>166</v>
      </c>
      <c r="AS16" s="1">
        <v>190</v>
      </c>
      <c r="AT16" s="1">
        <v>189</v>
      </c>
      <c r="AU16" s="1">
        <v>164</v>
      </c>
      <c r="AV16" s="1">
        <v>219</v>
      </c>
      <c r="AW16" s="1">
        <v>158</v>
      </c>
      <c r="AX16" s="1">
        <v>180</v>
      </c>
      <c r="AY16" s="1">
        <v>166</v>
      </c>
      <c r="AZ16" s="1">
        <v>147</v>
      </c>
      <c r="BA16" s="1">
        <v>162</v>
      </c>
      <c r="BB16" s="1">
        <v>157</v>
      </c>
      <c r="BC16" s="1">
        <v>187</v>
      </c>
      <c r="BD16" s="1">
        <v>154</v>
      </c>
      <c r="BE16" s="1">
        <v>178</v>
      </c>
      <c r="BF16" s="1">
        <v>191</v>
      </c>
      <c r="BG16" s="1">
        <v>152</v>
      </c>
      <c r="BH16" s="1">
        <v>183</v>
      </c>
      <c r="BI16" s="1">
        <v>188</v>
      </c>
      <c r="BJ16" s="1">
        <v>195</v>
      </c>
      <c r="BK16" s="1">
        <v>165</v>
      </c>
      <c r="BL16" s="1">
        <v>230</v>
      </c>
      <c r="BM16" s="1">
        <v>186</v>
      </c>
      <c r="BN16" s="1">
        <v>190</v>
      </c>
      <c r="BO16" s="1">
        <v>176</v>
      </c>
      <c r="BP16" s="1">
        <v>190</v>
      </c>
      <c r="BQ16" s="1">
        <v>172</v>
      </c>
      <c r="BR16" s="1">
        <v>143</v>
      </c>
      <c r="BS16" s="1">
        <v>128</v>
      </c>
      <c r="BT16" s="1">
        <v>194</v>
      </c>
      <c r="BU16" s="1">
        <v>199</v>
      </c>
      <c r="BV16" s="1">
        <v>181</v>
      </c>
      <c r="BW16" s="1">
        <v>207</v>
      </c>
      <c r="BX16" s="1">
        <v>180</v>
      </c>
      <c r="BY16" s="1">
        <v>222</v>
      </c>
      <c r="BZ16" s="1">
        <v>176</v>
      </c>
      <c r="CA16" s="1">
        <v>216</v>
      </c>
      <c r="CB16" s="1">
        <v>220</v>
      </c>
      <c r="CC16" s="1">
        <v>207</v>
      </c>
      <c r="CD16" s="1">
        <v>199</v>
      </c>
      <c r="CE16" s="1">
        <v>205</v>
      </c>
      <c r="CF16" s="1">
        <v>195</v>
      </c>
      <c r="CG16" s="1">
        <v>201</v>
      </c>
      <c r="CH16" s="1">
        <v>190</v>
      </c>
      <c r="CI16" s="1">
        <v>184</v>
      </c>
      <c r="CJ16" s="1">
        <v>202</v>
      </c>
      <c r="CK16" s="1">
        <v>204</v>
      </c>
      <c r="CL16" s="1">
        <v>235</v>
      </c>
      <c r="CM16" s="1">
        <v>215</v>
      </c>
      <c r="CN16" s="1">
        <v>193</v>
      </c>
      <c r="CO16" s="1">
        <v>234</v>
      </c>
    </row>
    <row r="17" spans="1:93" ht="15.75" customHeight="1">
      <c r="A17" s="1" t="s">
        <v>107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>
        <v>1</v>
      </c>
      <c r="CE17" s="1">
        <v>6</v>
      </c>
      <c r="CF17" s="1">
        <v>6</v>
      </c>
      <c r="CG17" s="1">
        <v>4</v>
      </c>
      <c r="CH17" s="1">
        <v>11</v>
      </c>
      <c r="CI17" s="1">
        <v>8</v>
      </c>
      <c r="CJ17" s="1">
        <v>6</v>
      </c>
      <c r="CK17" s="1">
        <v>6</v>
      </c>
      <c r="CL17" s="1">
        <v>5</v>
      </c>
      <c r="CM17" s="1">
        <v>5</v>
      </c>
      <c r="CN17" s="1">
        <v>7</v>
      </c>
      <c r="CO17" s="1">
        <v>6</v>
      </c>
    </row>
    <row r="18" spans="1:93" ht="15.75" customHeight="1">
      <c r="A18" s="1" t="s">
        <v>108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</row>
    <row r="19" spans="1:93" ht="15.75" customHeight="1">
      <c r="A19" s="1" t="s">
        <v>109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</row>
    <row r="20" spans="1:93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</row>
    <row r="21" spans="1:93" ht="15.75" customHeight="1">
      <c r="A21" s="2" t="s">
        <v>110</v>
      </c>
      <c r="B21" s="1" t="s">
        <v>116</v>
      </c>
      <c r="C21" s="1" t="s">
        <v>117</v>
      </c>
      <c r="D21" s="1" t="s">
        <v>118</v>
      </c>
      <c r="E21" s="1" t="s">
        <v>119</v>
      </c>
      <c r="F21" s="1" t="s">
        <v>120</v>
      </c>
      <c r="G21" s="1" t="s">
        <v>121</v>
      </c>
      <c r="H21" s="1" t="s">
        <v>122</v>
      </c>
      <c r="I21" s="1" t="s">
        <v>123</v>
      </c>
      <c r="J21" s="1" t="s">
        <v>124</v>
      </c>
      <c r="K21" s="1" t="s">
        <v>125</v>
      </c>
      <c r="L21" s="1" t="s">
        <v>126</v>
      </c>
      <c r="M21" s="1" t="s">
        <v>127</v>
      </c>
      <c r="N21" s="1" t="s">
        <v>128</v>
      </c>
      <c r="O21" s="1" t="s">
        <v>129</v>
      </c>
      <c r="P21" s="1" t="s">
        <v>130</v>
      </c>
      <c r="Q21" s="1" t="s">
        <v>131</v>
      </c>
      <c r="R21" s="1" t="s">
        <v>132</v>
      </c>
      <c r="S21" s="1" t="s">
        <v>133</v>
      </c>
      <c r="T21" s="1" t="s">
        <v>134</v>
      </c>
      <c r="U21" s="1" t="s">
        <v>135</v>
      </c>
      <c r="V21" s="1" t="s">
        <v>136</v>
      </c>
      <c r="W21" s="1" t="s">
        <v>137</v>
      </c>
      <c r="X21" s="1" t="s">
        <v>138</v>
      </c>
      <c r="Y21" s="1" t="s">
        <v>139</v>
      </c>
      <c r="Z21" s="1" t="s">
        <v>140</v>
      </c>
      <c r="AA21" s="1" t="s">
        <v>141</v>
      </c>
      <c r="AB21" s="1" t="s">
        <v>142</v>
      </c>
      <c r="AC21" s="1" t="s">
        <v>143</v>
      </c>
      <c r="AD21" s="1" t="s">
        <v>144</v>
      </c>
      <c r="AE21" s="1" t="s">
        <v>145</v>
      </c>
      <c r="AF21" s="1" t="s">
        <v>146</v>
      </c>
      <c r="AG21" s="1" t="s">
        <v>147</v>
      </c>
      <c r="AH21" s="1" t="s">
        <v>148</v>
      </c>
      <c r="AI21" s="1" t="s">
        <v>149</v>
      </c>
      <c r="AJ21" s="1" t="s">
        <v>150</v>
      </c>
      <c r="AK21" s="1" t="s">
        <v>151</v>
      </c>
      <c r="AL21" s="1" t="s">
        <v>152</v>
      </c>
      <c r="AM21" s="1" t="s">
        <v>153</v>
      </c>
      <c r="AN21" s="1" t="s">
        <v>154</v>
      </c>
      <c r="AO21" s="1" t="s">
        <v>155</v>
      </c>
      <c r="AP21" s="1" t="s">
        <v>156</v>
      </c>
      <c r="AQ21" s="1" t="s">
        <v>157</v>
      </c>
      <c r="AR21" s="1" t="s">
        <v>158</v>
      </c>
      <c r="AS21" s="1" t="s">
        <v>159</v>
      </c>
      <c r="AT21" s="1" t="s">
        <v>160</v>
      </c>
      <c r="AU21" s="1" t="s">
        <v>161</v>
      </c>
      <c r="AV21" s="1" t="s">
        <v>162</v>
      </c>
      <c r="AW21" s="1" t="s">
        <v>163</v>
      </c>
      <c r="AX21" s="1" t="s">
        <v>164</v>
      </c>
      <c r="AY21" s="1" t="s">
        <v>165</v>
      </c>
      <c r="AZ21" s="1" t="s">
        <v>166</v>
      </c>
      <c r="BA21" s="1" t="s">
        <v>167</v>
      </c>
      <c r="BB21" s="1" t="s">
        <v>168</v>
      </c>
      <c r="BC21" s="1" t="s">
        <v>169</v>
      </c>
      <c r="BD21" s="1" t="s">
        <v>170</v>
      </c>
      <c r="BE21" s="1" t="s">
        <v>171</v>
      </c>
      <c r="BF21" s="1" t="s">
        <v>172</v>
      </c>
      <c r="BG21" s="1" t="s">
        <v>173</v>
      </c>
      <c r="BH21" s="1" t="s">
        <v>174</v>
      </c>
      <c r="BI21" s="1" t="s">
        <v>175</v>
      </c>
      <c r="BJ21" s="1" t="s">
        <v>176</v>
      </c>
      <c r="BK21" s="1" t="s">
        <v>177</v>
      </c>
      <c r="BL21" s="1" t="s">
        <v>178</v>
      </c>
      <c r="BM21" s="1" t="s">
        <v>179</v>
      </c>
      <c r="BN21" s="1" t="s">
        <v>180</v>
      </c>
      <c r="BO21" s="1" t="s">
        <v>181</v>
      </c>
      <c r="BP21" s="1" t="s">
        <v>182</v>
      </c>
      <c r="BQ21" s="1" t="s">
        <v>183</v>
      </c>
      <c r="BR21" s="1" t="s">
        <v>184</v>
      </c>
      <c r="BS21" s="1" t="s">
        <v>185</v>
      </c>
      <c r="BT21" s="1" t="s">
        <v>186</v>
      </c>
      <c r="BU21" s="1" t="s">
        <v>187</v>
      </c>
      <c r="BV21" s="1" t="s">
        <v>188</v>
      </c>
      <c r="BW21" s="1" t="s">
        <v>189</v>
      </c>
      <c r="BX21" s="1" t="s">
        <v>190</v>
      </c>
      <c r="BY21" s="1" t="s">
        <v>191</v>
      </c>
      <c r="BZ21" s="1" t="s">
        <v>192</v>
      </c>
      <c r="CA21" s="1" t="s">
        <v>193</v>
      </c>
      <c r="CB21" s="1" t="s">
        <v>194</v>
      </c>
      <c r="CC21" s="1" t="s">
        <v>195</v>
      </c>
      <c r="CD21" s="1" t="s">
        <v>196</v>
      </c>
      <c r="CE21" s="1" t="s">
        <v>197</v>
      </c>
      <c r="CF21" s="1" t="s">
        <v>198</v>
      </c>
      <c r="CG21" s="1" t="s">
        <v>199</v>
      </c>
      <c r="CH21" s="1" t="s">
        <v>200</v>
      </c>
      <c r="CI21" s="1" t="s">
        <v>201</v>
      </c>
      <c r="CJ21" s="1" t="s">
        <v>202</v>
      </c>
      <c r="CK21" s="1" t="s">
        <v>203</v>
      </c>
      <c r="CL21" s="1" t="s">
        <v>204</v>
      </c>
      <c r="CM21" s="1" t="s">
        <v>205</v>
      </c>
      <c r="CN21" s="1" t="s">
        <v>206</v>
      </c>
      <c r="CO21" s="1" t="s">
        <v>209</v>
      </c>
    </row>
    <row r="22" spans="1:93" ht="15.75" customHeight="1">
      <c r="A22" s="3" t="s">
        <v>1</v>
      </c>
      <c r="B22" s="3" t="s">
        <v>2</v>
      </c>
      <c r="C22" s="3" t="s">
        <v>3</v>
      </c>
      <c r="D22" s="3" t="s">
        <v>4</v>
      </c>
      <c r="E22" s="3" t="s">
        <v>5</v>
      </c>
      <c r="F22" s="3" t="s">
        <v>6</v>
      </c>
      <c r="G22" s="3" t="s">
        <v>7</v>
      </c>
      <c r="H22" s="3" t="s">
        <v>8</v>
      </c>
      <c r="I22" s="3" t="s">
        <v>9</v>
      </c>
      <c r="J22" s="3" t="s">
        <v>10</v>
      </c>
      <c r="K22" s="3" t="s">
        <v>11</v>
      </c>
      <c r="L22" s="3" t="s">
        <v>12</v>
      </c>
      <c r="M22" s="3" t="s">
        <v>13</v>
      </c>
      <c r="N22" s="3" t="s">
        <v>14</v>
      </c>
      <c r="O22" s="3" t="s">
        <v>15</v>
      </c>
      <c r="P22" s="3" t="s">
        <v>16</v>
      </c>
      <c r="Q22" s="3" t="s">
        <v>17</v>
      </c>
      <c r="R22" s="3" t="s">
        <v>18</v>
      </c>
      <c r="S22" s="3" t="s">
        <v>19</v>
      </c>
      <c r="T22" s="3" t="s">
        <v>20</v>
      </c>
      <c r="U22" s="3" t="s">
        <v>21</v>
      </c>
      <c r="V22" s="3" t="s">
        <v>22</v>
      </c>
      <c r="W22" s="3" t="s">
        <v>23</v>
      </c>
      <c r="X22" s="3" t="s">
        <v>24</v>
      </c>
      <c r="Y22" s="3" t="s">
        <v>25</v>
      </c>
      <c r="Z22" s="3" t="s">
        <v>26</v>
      </c>
      <c r="AA22" s="3" t="s">
        <v>27</v>
      </c>
      <c r="AB22" s="3" t="s">
        <v>28</v>
      </c>
      <c r="AC22" s="3" t="s">
        <v>29</v>
      </c>
      <c r="AD22" s="3" t="s">
        <v>30</v>
      </c>
      <c r="AE22" s="3" t="s">
        <v>31</v>
      </c>
      <c r="AF22" s="3" t="s">
        <v>32</v>
      </c>
      <c r="AG22" s="3" t="s">
        <v>33</v>
      </c>
      <c r="AH22" s="3" t="s">
        <v>34</v>
      </c>
      <c r="AI22" s="3" t="s">
        <v>35</v>
      </c>
      <c r="AJ22" s="3" t="s">
        <v>36</v>
      </c>
      <c r="AK22" s="3" t="s">
        <v>37</v>
      </c>
      <c r="AL22" s="3" t="s">
        <v>38</v>
      </c>
      <c r="AM22" s="3" t="s">
        <v>39</v>
      </c>
      <c r="AN22" s="3" t="s">
        <v>40</v>
      </c>
      <c r="AO22" s="3" t="s">
        <v>41</v>
      </c>
      <c r="AP22" s="3" t="s">
        <v>42</v>
      </c>
      <c r="AQ22" s="3" t="s">
        <v>43</v>
      </c>
      <c r="AR22" s="3" t="s">
        <v>44</v>
      </c>
      <c r="AS22" s="3" t="s">
        <v>45</v>
      </c>
      <c r="AT22" s="3" t="s">
        <v>46</v>
      </c>
      <c r="AU22" s="3" t="s">
        <v>47</v>
      </c>
      <c r="AV22" s="3" t="s">
        <v>48</v>
      </c>
      <c r="AW22" s="3" t="s">
        <v>49</v>
      </c>
      <c r="AX22" s="3" t="s">
        <v>50</v>
      </c>
      <c r="AY22" s="3" t="s">
        <v>51</v>
      </c>
      <c r="AZ22" s="3" t="s">
        <v>52</v>
      </c>
      <c r="BA22" s="3" t="s">
        <v>53</v>
      </c>
      <c r="BB22" s="3" t="s">
        <v>54</v>
      </c>
      <c r="BC22" s="3" t="s">
        <v>55</v>
      </c>
      <c r="BD22" s="3" t="s">
        <v>56</v>
      </c>
      <c r="BE22" s="3" t="s">
        <v>57</v>
      </c>
      <c r="BF22" s="3" t="s">
        <v>58</v>
      </c>
      <c r="BG22" s="3" t="s">
        <v>59</v>
      </c>
      <c r="BH22" s="3" t="s">
        <v>60</v>
      </c>
      <c r="BI22" s="3" t="s">
        <v>61</v>
      </c>
      <c r="BJ22" s="3" t="s">
        <v>62</v>
      </c>
      <c r="BK22" s="3" t="s">
        <v>63</v>
      </c>
      <c r="BL22" s="3" t="s">
        <v>64</v>
      </c>
      <c r="BM22" s="3" t="s">
        <v>65</v>
      </c>
      <c r="BN22" s="3" t="s">
        <v>66</v>
      </c>
      <c r="BO22" s="3" t="s">
        <v>67</v>
      </c>
      <c r="BP22" s="3" t="s">
        <v>68</v>
      </c>
      <c r="BQ22" s="3" t="s">
        <v>69</v>
      </c>
      <c r="BR22" s="3" t="s">
        <v>70</v>
      </c>
      <c r="BS22" s="3" t="s">
        <v>71</v>
      </c>
      <c r="BT22" s="3" t="s">
        <v>72</v>
      </c>
      <c r="BU22" s="3" t="s">
        <v>73</v>
      </c>
      <c r="BV22" s="3" t="s">
        <v>74</v>
      </c>
      <c r="BW22" s="3" t="s">
        <v>75</v>
      </c>
      <c r="BX22" s="3" t="s">
        <v>76</v>
      </c>
      <c r="BY22" s="3" t="s">
        <v>77</v>
      </c>
      <c r="BZ22" s="3" t="s">
        <v>78</v>
      </c>
      <c r="CA22" s="3" t="s">
        <v>79</v>
      </c>
      <c r="CB22" s="3" t="s">
        <v>80</v>
      </c>
      <c r="CC22" s="3" t="s">
        <v>81</v>
      </c>
      <c r="CD22" s="3" t="s">
        <v>82</v>
      </c>
      <c r="CE22" s="3" t="s">
        <v>83</v>
      </c>
      <c r="CF22" s="3" t="s">
        <v>84</v>
      </c>
      <c r="CG22" s="3" t="s">
        <v>85</v>
      </c>
      <c r="CH22" s="3" t="s">
        <v>86</v>
      </c>
      <c r="CI22" s="3" t="s">
        <v>87</v>
      </c>
      <c r="CJ22" s="3" t="s">
        <v>88</v>
      </c>
      <c r="CK22" s="3" t="s">
        <v>89</v>
      </c>
      <c r="CL22" s="3" t="s">
        <v>90</v>
      </c>
      <c r="CM22" s="3" t="s">
        <v>91</v>
      </c>
      <c r="CN22" s="3" t="s">
        <v>92</v>
      </c>
      <c r="CO22" s="3" t="s">
        <v>93</v>
      </c>
    </row>
    <row r="23" spans="1:93" ht="15.75" customHeight="1">
      <c r="A23" s="1" t="s">
        <v>94</v>
      </c>
      <c r="B23" s="1">
        <v>11</v>
      </c>
      <c r="C23" s="1">
        <v>13</v>
      </c>
      <c r="D23" s="1">
        <v>6</v>
      </c>
      <c r="E23" s="1">
        <v>7</v>
      </c>
      <c r="F23" s="1">
        <v>6</v>
      </c>
      <c r="G23" s="1">
        <v>5</v>
      </c>
      <c r="H23" s="1">
        <v>2</v>
      </c>
      <c r="I23" s="1">
        <v>4</v>
      </c>
      <c r="J23" s="1"/>
      <c r="K23" s="1">
        <v>2</v>
      </c>
      <c r="L23" s="1">
        <v>6</v>
      </c>
      <c r="M23" s="1">
        <v>5</v>
      </c>
      <c r="N23" s="1">
        <v>3</v>
      </c>
      <c r="O23" s="1">
        <v>6</v>
      </c>
      <c r="P23" s="1">
        <v>4</v>
      </c>
      <c r="Q23" s="1">
        <v>2</v>
      </c>
      <c r="R23" s="1">
        <v>4</v>
      </c>
      <c r="S23" s="1">
        <v>3</v>
      </c>
      <c r="T23" s="1">
        <v>1</v>
      </c>
      <c r="U23" s="1"/>
      <c r="V23" s="1">
        <v>3</v>
      </c>
      <c r="W23" s="1">
        <v>18</v>
      </c>
      <c r="X23" s="1">
        <v>10</v>
      </c>
      <c r="Y23" s="1">
        <v>18</v>
      </c>
      <c r="Z23" s="1">
        <v>15</v>
      </c>
      <c r="AA23" s="1">
        <v>8</v>
      </c>
      <c r="AB23" s="1">
        <v>11</v>
      </c>
      <c r="AC23" s="1">
        <v>15</v>
      </c>
      <c r="AD23" s="1">
        <v>28</v>
      </c>
      <c r="AE23" s="1">
        <v>25</v>
      </c>
      <c r="AF23" s="1">
        <v>32</v>
      </c>
      <c r="AG23" s="1">
        <v>43</v>
      </c>
      <c r="AH23" s="1">
        <v>46</v>
      </c>
      <c r="AI23" s="1">
        <v>61</v>
      </c>
      <c r="AJ23" s="1">
        <v>36</v>
      </c>
      <c r="AK23" s="1">
        <v>65</v>
      </c>
      <c r="AL23" s="1">
        <v>33</v>
      </c>
      <c r="AM23" s="1">
        <v>59</v>
      </c>
      <c r="AN23" s="1">
        <v>54</v>
      </c>
      <c r="AO23" s="1">
        <v>64</v>
      </c>
      <c r="AP23" s="1">
        <v>46</v>
      </c>
      <c r="AQ23" s="1">
        <v>65</v>
      </c>
      <c r="AR23" s="1">
        <v>76</v>
      </c>
      <c r="AS23" s="1">
        <v>67</v>
      </c>
      <c r="AT23" s="1">
        <v>58</v>
      </c>
      <c r="AU23" s="1">
        <v>77</v>
      </c>
      <c r="AV23" s="1">
        <v>64</v>
      </c>
      <c r="AW23" s="1">
        <v>82</v>
      </c>
      <c r="AX23" s="1">
        <v>75</v>
      </c>
      <c r="AY23" s="1">
        <v>102</v>
      </c>
      <c r="AZ23" s="1">
        <v>81</v>
      </c>
      <c r="BA23" s="1">
        <v>75</v>
      </c>
      <c r="BB23" s="1">
        <v>87</v>
      </c>
      <c r="BC23" s="1">
        <v>82</v>
      </c>
      <c r="BD23" s="1">
        <v>70</v>
      </c>
      <c r="BE23" s="1">
        <v>119</v>
      </c>
      <c r="BF23" s="1">
        <v>89</v>
      </c>
      <c r="BG23" s="1">
        <v>84</v>
      </c>
      <c r="BH23" s="1">
        <v>91</v>
      </c>
      <c r="BI23" s="1">
        <v>115</v>
      </c>
      <c r="BJ23" s="1">
        <v>96</v>
      </c>
      <c r="BK23" s="1">
        <v>100</v>
      </c>
      <c r="BL23" s="1">
        <v>91</v>
      </c>
      <c r="BM23" s="1">
        <v>80</v>
      </c>
      <c r="BN23" s="1">
        <v>89</v>
      </c>
      <c r="BO23" s="1">
        <v>117</v>
      </c>
      <c r="BP23" s="1">
        <v>85</v>
      </c>
      <c r="BQ23" s="1">
        <v>85</v>
      </c>
      <c r="BR23" s="1">
        <v>77</v>
      </c>
      <c r="BS23" s="1">
        <v>71</v>
      </c>
      <c r="BT23" s="1">
        <v>81</v>
      </c>
      <c r="BU23" s="1">
        <v>90</v>
      </c>
      <c r="BV23" s="1">
        <v>86</v>
      </c>
      <c r="BW23" s="1">
        <v>68</v>
      </c>
      <c r="BX23" s="1">
        <v>74</v>
      </c>
      <c r="BY23" s="1">
        <v>81</v>
      </c>
      <c r="BZ23" s="1">
        <v>112</v>
      </c>
      <c r="CA23" s="1">
        <v>91</v>
      </c>
      <c r="CB23" s="1">
        <v>88</v>
      </c>
      <c r="CC23" s="1">
        <v>101</v>
      </c>
      <c r="CD23" s="1">
        <v>83</v>
      </c>
      <c r="CE23" s="1">
        <v>91</v>
      </c>
      <c r="CF23" s="1">
        <v>101</v>
      </c>
      <c r="CG23" s="1">
        <v>72</v>
      </c>
      <c r="CH23" s="1">
        <v>80</v>
      </c>
      <c r="CI23" s="1">
        <v>87</v>
      </c>
      <c r="CJ23" s="1">
        <v>102</v>
      </c>
      <c r="CK23" s="1">
        <v>88</v>
      </c>
      <c r="CL23" s="1">
        <v>97</v>
      </c>
      <c r="CM23" s="1">
        <v>102</v>
      </c>
      <c r="CN23" s="1">
        <v>108</v>
      </c>
      <c r="CO23" s="1">
        <v>113</v>
      </c>
    </row>
    <row r="24" spans="1:93" ht="15.75" customHeight="1">
      <c r="A24" s="1" t="s">
        <v>95</v>
      </c>
      <c r="B24" s="1">
        <v>127</v>
      </c>
      <c r="C24" s="1">
        <v>103</v>
      </c>
      <c r="D24" s="1">
        <v>118</v>
      </c>
      <c r="E24" s="1">
        <v>117</v>
      </c>
      <c r="F24" s="1">
        <v>127</v>
      </c>
      <c r="G24" s="1">
        <v>106</v>
      </c>
      <c r="H24" s="1">
        <v>122</v>
      </c>
      <c r="I24" s="1">
        <v>96</v>
      </c>
      <c r="J24" s="1">
        <v>122</v>
      </c>
      <c r="K24" s="1">
        <v>97</v>
      </c>
      <c r="L24" s="1">
        <v>111</v>
      </c>
      <c r="M24" s="1">
        <v>119</v>
      </c>
      <c r="N24" s="1">
        <v>130</v>
      </c>
      <c r="O24" s="1">
        <v>184</v>
      </c>
      <c r="P24" s="1">
        <v>169</v>
      </c>
      <c r="Q24" s="1">
        <v>170</v>
      </c>
      <c r="R24" s="1">
        <v>154</v>
      </c>
      <c r="S24" s="1">
        <v>147</v>
      </c>
      <c r="T24" s="1">
        <v>114</v>
      </c>
      <c r="U24" s="1">
        <v>110</v>
      </c>
      <c r="V24" s="1">
        <v>117</v>
      </c>
      <c r="W24" s="1">
        <v>110</v>
      </c>
      <c r="X24" s="1">
        <v>85</v>
      </c>
      <c r="Y24" s="1">
        <v>103</v>
      </c>
      <c r="Z24" s="1">
        <v>99</v>
      </c>
      <c r="AA24" s="1">
        <v>116</v>
      </c>
      <c r="AB24" s="1">
        <v>107</v>
      </c>
      <c r="AC24" s="1">
        <v>100</v>
      </c>
      <c r="AD24" s="1">
        <v>112</v>
      </c>
      <c r="AE24" s="1">
        <v>145</v>
      </c>
      <c r="AF24" s="1">
        <v>141</v>
      </c>
      <c r="AG24" s="1">
        <v>206</v>
      </c>
      <c r="AH24" s="1">
        <v>176</v>
      </c>
      <c r="AI24" s="1">
        <v>175</v>
      </c>
      <c r="AJ24" s="1">
        <v>170</v>
      </c>
      <c r="AK24" s="1">
        <v>193</v>
      </c>
      <c r="AL24" s="1">
        <v>152</v>
      </c>
      <c r="AM24" s="1">
        <v>172</v>
      </c>
      <c r="AN24" s="1">
        <v>159</v>
      </c>
      <c r="AO24" s="1">
        <v>102</v>
      </c>
      <c r="AP24" s="1">
        <v>132</v>
      </c>
      <c r="AQ24" s="1">
        <v>132</v>
      </c>
      <c r="AR24" s="1">
        <v>131</v>
      </c>
      <c r="AS24" s="1">
        <v>123</v>
      </c>
      <c r="AT24" s="1">
        <v>151</v>
      </c>
      <c r="AU24" s="1">
        <v>117</v>
      </c>
      <c r="AV24" s="1">
        <v>138</v>
      </c>
      <c r="AW24" s="1">
        <v>121</v>
      </c>
      <c r="AX24" s="1">
        <v>447</v>
      </c>
      <c r="AY24" s="1">
        <v>518</v>
      </c>
      <c r="AZ24" s="1">
        <v>58</v>
      </c>
      <c r="BA24" s="1">
        <v>103</v>
      </c>
      <c r="BB24" s="1">
        <v>93</v>
      </c>
      <c r="BC24" s="1">
        <v>100</v>
      </c>
      <c r="BD24" s="1">
        <v>106</v>
      </c>
      <c r="BE24" s="1">
        <v>689</v>
      </c>
      <c r="BF24" s="1">
        <v>204</v>
      </c>
      <c r="BG24" s="1">
        <v>69</v>
      </c>
      <c r="BH24" s="1">
        <v>84</v>
      </c>
      <c r="BI24" s="1">
        <v>129</v>
      </c>
      <c r="BJ24" s="1">
        <v>117</v>
      </c>
      <c r="BK24" s="1">
        <v>97</v>
      </c>
      <c r="BL24" s="1">
        <v>146</v>
      </c>
      <c r="BM24" s="1">
        <v>130</v>
      </c>
      <c r="BN24" s="1">
        <v>133</v>
      </c>
      <c r="BO24" s="1">
        <v>139</v>
      </c>
      <c r="BP24" s="1">
        <v>126</v>
      </c>
      <c r="BQ24" s="1">
        <v>126</v>
      </c>
      <c r="BR24" s="1">
        <v>125</v>
      </c>
      <c r="BS24" s="1">
        <v>127</v>
      </c>
      <c r="BT24" s="1">
        <v>164</v>
      </c>
      <c r="BU24" s="1">
        <v>123</v>
      </c>
      <c r="BV24" s="1">
        <v>122</v>
      </c>
      <c r="BW24" s="1">
        <v>142</v>
      </c>
      <c r="BX24" s="1">
        <v>192</v>
      </c>
      <c r="BY24" s="1">
        <v>248</v>
      </c>
      <c r="BZ24" s="1">
        <v>182</v>
      </c>
      <c r="CA24" s="1">
        <v>172</v>
      </c>
      <c r="CB24" s="1">
        <v>140</v>
      </c>
      <c r="CC24" s="1">
        <v>170</v>
      </c>
      <c r="CD24" s="1">
        <v>158</v>
      </c>
      <c r="CE24" s="1">
        <v>125</v>
      </c>
      <c r="CF24" s="1">
        <v>144</v>
      </c>
      <c r="CG24" s="1">
        <v>131</v>
      </c>
      <c r="CH24" s="1">
        <v>121</v>
      </c>
      <c r="CI24" s="1">
        <v>135</v>
      </c>
      <c r="CJ24" s="1">
        <v>161</v>
      </c>
      <c r="CK24" s="1">
        <v>153</v>
      </c>
      <c r="CL24" s="1">
        <v>162</v>
      </c>
      <c r="CM24" s="1">
        <v>173</v>
      </c>
      <c r="CN24" s="1">
        <v>148</v>
      </c>
      <c r="CO24" s="1">
        <v>117</v>
      </c>
    </row>
    <row r="25" spans="1:93" ht="15.75" customHeight="1">
      <c r="A25" s="1" t="s">
        <v>96</v>
      </c>
      <c r="B25" s="1">
        <v>124</v>
      </c>
      <c r="C25" s="1">
        <v>114</v>
      </c>
      <c r="D25" s="1">
        <v>132</v>
      </c>
      <c r="E25" s="1">
        <v>134</v>
      </c>
      <c r="F25" s="1">
        <v>156</v>
      </c>
      <c r="G25" s="1">
        <v>126</v>
      </c>
      <c r="H25" s="1">
        <v>139</v>
      </c>
      <c r="I25" s="1">
        <v>132</v>
      </c>
      <c r="J25" s="1">
        <v>121</v>
      </c>
      <c r="K25" s="1">
        <v>93</v>
      </c>
      <c r="L25" s="1">
        <v>118</v>
      </c>
      <c r="M25" s="1">
        <v>119</v>
      </c>
      <c r="N25" s="1">
        <v>132</v>
      </c>
      <c r="O25" s="1">
        <v>159</v>
      </c>
      <c r="P25" s="1">
        <v>152</v>
      </c>
      <c r="Q25" s="1">
        <v>139</v>
      </c>
      <c r="R25" s="1">
        <v>134</v>
      </c>
      <c r="S25" s="1">
        <v>175</v>
      </c>
      <c r="T25" s="1">
        <v>138</v>
      </c>
      <c r="U25" s="1">
        <v>111</v>
      </c>
      <c r="V25" s="1">
        <v>133</v>
      </c>
      <c r="W25" s="1">
        <v>147</v>
      </c>
      <c r="X25" s="1">
        <v>126</v>
      </c>
      <c r="Y25" s="1">
        <v>132</v>
      </c>
      <c r="Z25" s="1">
        <v>111</v>
      </c>
      <c r="AA25" s="1">
        <v>131</v>
      </c>
      <c r="AB25" s="1">
        <v>147</v>
      </c>
      <c r="AC25" s="1">
        <v>158</v>
      </c>
      <c r="AD25" s="1">
        <v>188</v>
      </c>
      <c r="AE25" s="1">
        <v>167</v>
      </c>
      <c r="AF25" s="1">
        <v>222</v>
      </c>
      <c r="AG25" s="1">
        <v>310</v>
      </c>
      <c r="AH25" s="1">
        <v>238</v>
      </c>
      <c r="AI25" s="1">
        <v>212</v>
      </c>
      <c r="AJ25" s="1">
        <v>197</v>
      </c>
      <c r="AK25" s="1">
        <v>287</v>
      </c>
      <c r="AL25" s="1">
        <v>190</v>
      </c>
      <c r="AM25" s="1">
        <v>203</v>
      </c>
      <c r="AN25" s="1">
        <v>214</v>
      </c>
      <c r="AO25" s="1">
        <v>182</v>
      </c>
      <c r="AP25" s="1">
        <v>198</v>
      </c>
      <c r="AQ25" s="1">
        <v>186</v>
      </c>
      <c r="AR25" s="1">
        <v>204</v>
      </c>
      <c r="AS25" s="1">
        <v>133</v>
      </c>
      <c r="AT25" s="1">
        <v>197</v>
      </c>
      <c r="AU25" s="1">
        <v>162</v>
      </c>
      <c r="AV25" s="1">
        <v>153</v>
      </c>
      <c r="AW25" s="1">
        <v>130</v>
      </c>
      <c r="AX25" s="1">
        <v>133</v>
      </c>
      <c r="AY25" s="1">
        <v>178</v>
      </c>
      <c r="AZ25" s="1">
        <v>149</v>
      </c>
      <c r="BA25" s="1">
        <v>158</v>
      </c>
      <c r="BB25" s="1">
        <v>455</v>
      </c>
      <c r="BC25" s="1">
        <v>393</v>
      </c>
      <c r="BD25" s="1">
        <v>136</v>
      </c>
      <c r="BE25" s="1">
        <v>201</v>
      </c>
      <c r="BF25" s="1">
        <v>224</v>
      </c>
      <c r="BG25" s="1">
        <v>192</v>
      </c>
      <c r="BH25" s="1">
        <v>197</v>
      </c>
      <c r="BI25" s="1">
        <v>241</v>
      </c>
      <c r="BJ25" s="1">
        <v>198</v>
      </c>
      <c r="BK25" s="1">
        <v>195</v>
      </c>
      <c r="BL25" s="1">
        <v>238</v>
      </c>
      <c r="BM25" s="1">
        <v>221</v>
      </c>
      <c r="BN25" s="1">
        <v>210</v>
      </c>
      <c r="BO25" s="1">
        <v>215</v>
      </c>
      <c r="BP25" s="1">
        <v>192</v>
      </c>
      <c r="BQ25" s="1">
        <v>209</v>
      </c>
      <c r="BR25" s="1">
        <v>175</v>
      </c>
      <c r="BS25" s="1">
        <v>161</v>
      </c>
      <c r="BT25" s="1">
        <v>184</v>
      </c>
      <c r="BU25" s="1">
        <v>169</v>
      </c>
      <c r="BV25" s="1">
        <v>183</v>
      </c>
      <c r="BW25" s="1">
        <v>199</v>
      </c>
      <c r="BX25" s="1">
        <v>301</v>
      </c>
      <c r="BY25" s="1">
        <v>349</v>
      </c>
      <c r="BZ25" s="1">
        <v>194</v>
      </c>
      <c r="CA25" s="1">
        <v>253</v>
      </c>
      <c r="CB25" s="1">
        <v>207</v>
      </c>
      <c r="CC25" s="1">
        <v>235</v>
      </c>
      <c r="CD25" s="1">
        <v>261</v>
      </c>
      <c r="CE25" s="1">
        <v>219</v>
      </c>
      <c r="CF25" s="1">
        <v>231</v>
      </c>
      <c r="CG25" s="1">
        <v>222</v>
      </c>
      <c r="CH25" s="1">
        <v>218</v>
      </c>
      <c r="CI25" s="1">
        <v>220</v>
      </c>
      <c r="CJ25" s="1">
        <v>231</v>
      </c>
      <c r="CK25" s="1">
        <v>235</v>
      </c>
      <c r="CL25" s="1">
        <v>209</v>
      </c>
      <c r="CM25" s="1">
        <v>259</v>
      </c>
      <c r="CN25" s="1">
        <v>244</v>
      </c>
      <c r="CO25" s="1">
        <v>256</v>
      </c>
    </row>
    <row r="26" spans="1:93" ht="15.75" customHeight="1">
      <c r="A26" s="1" t="s">
        <v>97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</row>
    <row r="27" spans="1:93" ht="15.75" customHeight="1">
      <c r="A27" s="1" t="s">
        <v>98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</row>
    <row r="28" spans="1:93" ht="15.75" customHeight="1">
      <c r="A28" s="1" t="s">
        <v>99</v>
      </c>
      <c r="B28" s="1">
        <v>17</v>
      </c>
      <c r="C28" s="1">
        <v>3</v>
      </c>
      <c r="D28" s="1">
        <v>14</v>
      </c>
      <c r="E28" s="1">
        <v>12</v>
      </c>
      <c r="F28" s="1">
        <v>13</v>
      </c>
      <c r="G28" s="1">
        <v>6</v>
      </c>
      <c r="H28" s="1">
        <v>12</v>
      </c>
      <c r="I28" s="1">
        <v>15</v>
      </c>
      <c r="J28" s="1">
        <v>17</v>
      </c>
      <c r="K28" s="1">
        <v>9</v>
      </c>
      <c r="L28" s="1">
        <v>13</v>
      </c>
      <c r="M28" s="1">
        <v>20</v>
      </c>
      <c r="N28" s="1">
        <v>13</v>
      </c>
      <c r="O28" s="1">
        <v>26</v>
      </c>
      <c r="P28" s="1">
        <v>23</v>
      </c>
      <c r="Q28" s="1">
        <v>16</v>
      </c>
      <c r="R28" s="1">
        <v>10</v>
      </c>
      <c r="S28" s="1">
        <v>11</v>
      </c>
      <c r="T28" s="1">
        <v>4</v>
      </c>
      <c r="U28" s="1">
        <v>11</v>
      </c>
      <c r="V28" s="1">
        <v>14</v>
      </c>
      <c r="W28" s="1">
        <v>10</v>
      </c>
      <c r="X28" s="1">
        <v>8</v>
      </c>
      <c r="Y28" s="1">
        <v>12</v>
      </c>
      <c r="Z28" s="1">
        <v>8</v>
      </c>
      <c r="AA28" s="1">
        <v>14</v>
      </c>
      <c r="AB28" s="1">
        <v>8</v>
      </c>
      <c r="AC28" s="1">
        <v>10</v>
      </c>
      <c r="AD28" s="1">
        <v>10</v>
      </c>
      <c r="AE28" s="1">
        <v>6</v>
      </c>
      <c r="AF28" s="1">
        <v>11</v>
      </c>
      <c r="AG28" s="1">
        <v>14</v>
      </c>
      <c r="AH28" s="1">
        <v>17</v>
      </c>
      <c r="AI28" s="1">
        <v>23</v>
      </c>
      <c r="AJ28" s="1">
        <v>27</v>
      </c>
      <c r="AK28" s="1">
        <v>27</v>
      </c>
      <c r="AL28" s="1">
        <v>19</v>
      </c>
      <c r="AM28" s="1">
        <v>26</v>
      </c>
      <c r="AN28" s="1">
        <v>22</v>
      </c>
      <c r="AO28" s="1">
        <v>18</v>
      </c>
      <c r="AP28" s="1">
        <v>22</v>
      </c>
      <c r="AQ28" s="1">
        <v>25</v>
      </c>
      <c r="AR28" s="1">
        <v>23</v>
      </c>
      <c r="AS28" s="1">
        <v>24</v>
      </c>
      <c r="AT28" s="1">
        <v>23</v>
      </c>
      <c r="AU28" s="1">
        <v>18</v>
      </c>
      <c r="AV28" s="1">
        <v>23</v>
      </c>
      <c r="AW28" s="1">
        <v>21</v>
      </c>
      <c r="AX28" s="1">
        <v>29</v>
      </c>
      <c r="AY28" s="1">
        <v>40</v>
      </c>
      <c r="AZ28" s="1">
        <v>20</v>
      </c>
      <c r="BA28" s="1">
        <v>26</v>
      </c>
      <c r="BB28" s="1">
        <v>25</v>
      </c>
      <c r="BC28" s="1">
        <v>15</v>
      </c>
      <c r="BD28" s="1">
        <v>22</v>
      </c>
      <c r="BE28" s="1">
        <v>30</v>
      </c>
      <c r="BF28" s="1">
        <v>38</v>
      </c>
      <c r="BG28" s="1">
        <v>22</v>
      </c>
      <c r="BH28" s="1">
        <v>31</v>
      </c>
      <c r="BI28" s="1">
        <v>40</v>
      </c>
      <c r="BJ28" s="1">
        <v>25</v>
      </c>
      <c r="BK28" s="1">
        <v>33</v>
      </c>
      <c r="BL28" s="1">
        <v>36</v>
      </c>
      <c r="BM28" s="1">
        <v>47</v>
      </c>
      <c r="BN28" s="1">
        <v>28</v>
      </c>
      <c r="BO28" s="1">
        <v>38</v>
      </c>
      <c r="BP28" s="1">
        <v>26</v>
      </c>
      <c r="BQ28" s="1">
        <v>35</v>
      </c>
      <c r="BR28" s="1">
        <v>35</v>
      </c>
      <c r="BS28" s="1">
        <v>27</v>
      </c>
      <c r="BT28" s="1">
        <v>38</v>
      </c>
      <c r="BU28" s="1">
        <v>35</v>
      </c>
      <c r="BV28" s="1">
        <v>29</v>
      </c>
      <c r="BW28" s="1">
        <v>26</v>
      </c>
      <c r="BX28" s="1">
        <v>27</v>
      </c>
      <c r="BY28" s="1">
        <v>30</v>
      </c>
      <c r="BZ28" s="1">
        <v>32</v>
      </c>
      <c r="CA28" s="1">
        <v>24</v>
      </c>
      <c r="CB28" s="1">
        <v>21</v>
      </c>
      <c r="CC28" s="1">
        <v>31</v>
      </c>
      <c r="CD28" s="1">
        <v>31</v>
      </c>
      <c r="CE28" s="1">
        <v>28</v>
      </c>
      <c r="CF28" s="1">
        <v>34</v>
      </c>
      <c r="CG28" s="1">
        <v>35</v>
      </c>
      <c r="CH28" s="1">
        <v>40</v>
      </c>
      <c r="CI28" s="1">
        <v>24</v>
      </c>
      <c r="CJ28" s="1">
        <v>33</v>
      </c>
      <c r="CK28" s="1">
        <v>31</v>
      </c>
      <c r="CL28" s="1">
        <v>29</v>
      </c>
      <c r="CM28" s="1">
        <v>29</v>
      </c>
      <c r="CN28" s="1">
        <v>36</v>
      </c>
      <c r="CO28" s="1">
        <v>31</v>
      </c>
    </row>
    <row r="29" spans="1:93" ht="15.75" customHeight="1">
      <c r="A29" s="1" t="s">
        <v>100</v>
      </c>
      <c r="B29" s="1">
        <v>9</v>
      </c>
      <c r="C29" s="1">
        <v>12</v>
      </c>
      <c r="D29" s="1">
        <v>9</v>
      </c>
      <c r="E29" s="1">
        <v>5</v>
      </c>
      <c r="F29" s="1">
        <v>9</v>
      </c>
      <c r="G29" s="1">
        <v>8</v>
      </c>
      <c r="H29" s="1">
        <v>7</v>
      </c>
      <c r="I29" s="1">
        <v>8</v>
      </c>
      <c r="J29" s="1">
        <v>12</v>
      </c>
      <c r="K29" s="1">
        <v>6</v>
      </c>
      <c r="L29" s="1">
        <v>9</v>
      </c>
      <c r="M29" s="1">
        <v>9</v>
      </c>
      <c r="N29" s="1">
        <v>7</v>
      </c>
      <c r="O29" s="1">
        <v>10</v>
      </c>
      <c r="P29" s="1">
        <v>10</v>
      </c>
      <c r="Q29" s="1">
        <v>6</v>
      </c>
      <c r="R29" s="1">
        <v>6</v>
      </c>
      <c r="S29" s="1">
        <v>3</v>
      </c>
      <c r="T29" s="1">
        <v>9</v>
      </c>
      <c r="U29" s="1">
        <v>5</v>
      </c>
      <c r="V29" s="1">
        <v>7</v>
      </c>
      <c r="W29" s="1">
        <v>5</v>
      </c>
      <c r="X29" s="1">
        <v>3</v>
      </c>
      <c r="Y29" s="1">
        <v>7</v>
      </c>
      <c r="Z29" s="1">
        <v>6</v>
      </c>
      <c r="AA29" s="1">
        <v>5</v>
      </c>
      <c r="AB29" s="1">
        <v>5</v>
      </c>
      <c r="AC29" s="1">
        <v>6</v>
      </c>
      <c r="AD29" s="1">
        <v>10</v>
      </c>
      <c r="AE29" s="1">
        <v>6</v>
      </c>
      <c r="AF29" s="1">
        <v>13</v>
      </c>
      <c r="AG29" s="1">
        <v>14</v>
      </c>
      <c r="AH29" s="1">
        <v>10</v>
      </c>
      <c r="AI29" s="1">
        <v>15</v>
      </c>
      <c r="AJ29" s="1">
        <v>15</v>
      </c>
      <c r="AK29" s="1">
        <v>15</v>
      </c>
      <c r="AL29" s="1">
        <v>15</v>
      </c>
      <c r="AM29" s="1">
        <v>28</v>
      </c>
      <c r="AN29" s="1">
        <v>8</v>
      </c>
      <c r="AO29" s="1">
        <v>18</v>
      </c>
      <c r="AP29" s="1">
        <v>19</v>
      </c>
      <c r="AQ29" s="1">
        <v>25</v>
      </c>
      <c r="AR29" s="1">
        <v>25</v>
      </c>
      <c r="AS29" s="1">
        <v>20</v>
      </c>
      <c r="AT29" s="1">
        <v>25</v>
      </c>
      <c r="AU29" s="1">
        <v>17</v>
      </c>
      <c r="AV29" s="1">
        <v>14</v>
      </c>
      <c r="AW29" s="1">
        <v>21</v>
      </c>
      <c r="AX29" s="1">
        <v>23</v>
      </c>
      <c r="AY29" s="1">
        <v>35</v>
      </c>
      <c r="AZ29" s="1">
        <v>17</v>
      </c>
      <c r="BA29" s="1">
        <v>22</v>
      </c>
      <c r="BB29" s="1">
        <v>25</v>
      </c>
      <c r="BC29" s="1">
        <v>23</v>
      </c>
      <c r="BD29" s="1">
        <v>28</v>
      </c>
      <c r="BE29" s="1">
        <v>30</v>
      </c>
      <c r="BF29" s="1">
        <v>45</v>
      </c>
      <c r="BG29" s="1">
        <v>17</v>
      </c>
      <c r="BH29" s="1">
        <v>24</v>
      </c>
      <c r="BI29" s="1">
        <v>26</v>
      </c>
      <c r="BJ29" s="1">
        <v>41</v>
      </c>
      <c r="BK29" s="1">
        <v>52</v>
      </c>
      <c r="BL29" s="1">
        <v>38</v>
      </c>
      <c r="BM29" s="1">
        <v>41</v>
      </c>
      <c r="BN29" s="1">
        <v>37</v>
      </c>
      <c r="BO29" s="1">
        <v>32</v>
      </c>
      <c r="BP29" s="1">
        <v>30</v>
      </c>
      <c r="BQ29" s="1">
        <v>50</v>
      </c>
      <c r="BR29" s="1">
        <v>42</v>
      </c>
      <c r="BS29" s="1">
        <v>35</v>
      </c>
      <c r="BT29" s="1">
        <v>42</v>
      </c>
      <c r="BU29" s="1">
        <v>22</v>
      </c>
      <c r="BV29" s="1">
        <v>26</v>
      </c>
      <c r="BW29" s="1">
        <v>23</v>
      </c>
      <c r="BX29" s="1">
        <v>30</v>
      </c>
      <c r="BY29" s="1">
        <v>32</v>
      </c>
      <c r="BZ29" s="1">
        <v>35</v>
      </c>
      <c r="CA29" s="1">
        <v>23</v>
      </c>
      <c r="CB29" s="1">
        <v>20</v>
      </c>
      <c r="CC29" s="1">
        <v>15</v>
      </c>
      <c r="CD29" s="1">
        <v>27</v>
      </c>
      <c r="CE29" s="1">
        <v>31</v>
      </c>
      <c r="CF29" s="1">
        <v>26</v>
      </c>
      <c r="CG29" s="1">
        <v>31</v>
      </c>
      <c r="CH29" s="1">
        <v>46</v>
      </c>
      <c r="CI29" s="1">
        <v>16</v>
      </c>
      <c r="CJ29" s="1">
        <v>32</v>
      </c>
      <c r="CK29" s="1">
        <v>36</v>
      </c>
      <c r="CL29" s="1">
        <v>41</v>
      </c>
      <c r="CM29" s="1">
        <v>25</v>
      </c>
      <c r="CN29" s="1">
        <v>28</v>
      </c>
      <c r="CO29" s="1">
        <v>30</v>
      </c>
    </row>
    <row r="30" spans="1:93" ht="15.75" customHeight="1">
      <c r="A30" s="1" t="s">
        <v>101</v>
      </c>
      <c r="B30" s="1">
        <v>54</v>
      </c>
      <c r="C30" s="1">
        <v>34</v>
      </c>
      <c r="D30" s="1">
        <v>23</v>
      </c>
      <c r="E30" s="1">
        <v>40</v>
      </c>
      <c r="F30" s="1">
        <v>46</v>
      </c>
      <c r="G30" s="1">
        <v>28</v>
      </c>
      <c r="H30" s="1">
        <v>41</v>
      </c>
      <c r="I30" s="1">
        <v>47</v>
      </c>
      <c r="J30" s="1">
        <v>26</v>
      </c>
      <c r="K30" s="1">
        <v>34</v>
      </c>
      <c r="L30" s="1">
        <v>43</v>
      </c>
      <c r="M30" s="1">
        <v>39</v>
      </c>
      <c r="N30" s="1">
        <v>38</v>
      </c>
      <c r="O30" s="1">
        <v>48</v>
      </c>
      <c r="P30" s="1">
        <v>46</v>
      </c>
      <c r="Q30" s="1">
        <v>40</v>
      </c>
      <c r="R30" s="1">
        <v>36</v>
      </c>
      <c r="S30" s="1">
        <v>35</v>
      </c>
      <c r="T30" s="1">
        <v>47</v>
      </c>
      <c r="U30" s="1">
        <v>50</v>
      </c>
      <c r="V30" s="1">
        <v>46</v>
      </c>
      <c r="W30" s="1">
        <v>47</v>
      </c>
      <c r="X30" s="1">
        <v>43</v>
      </c>
      <c r="Y30" s="1">
        <v>48</v>
      </c>
      <c r="Z30" s="1">
        <v>37</v>
      </c>
      <c r="AA30" s="1">
        <v>40</v>
      </c>
      <c r="AB30" s="1">
        <v>26</v>
      </c>
      <c r="AC30" s="1">
        <v>48</v>
      </c>
      <c r="AD30" s="1">
        <v>55</v>
      </c>
      <c r="AE30" s="1">
        <v>47</v>
      </c>
      <c r="AF30" s="1">
        <v>68</v>
      </c>
      <c r="AG30" s="1">
        <v>95</v>
      </c>
      <c r="AH30" s="1">
        <v>61</v>
      </c>
      <c r="AI30" s="1">
        <v>86</v>
      </c>
      <c r="AJ30" s="1">
        <v>61</v>
      </c>
      <c r="AK30" s="1">
        <v>100</v>
      </c>
      <c r="AL30" s="1">
        <v>69</v>
      </c>
      <c r="AM30" s="1">
        <v>65</v>
      </c>
      <c r="AN30" s="1">
        <v>67</v>
      </c>
      <c r="AO30" s="1">
        <v>46</v>
      </c>
      <c r="AP30" s="1">
        <v>62</v>
      </c>
      <c r="AQ30" s="1">
        <v>66</v>
      </c>
      <c r="AR30" s="1">
        <v>50</v>
      </c>
      <c r="AS30" s="1">
        <v>58</v>
      </c>
      <c r="AT30" s="1">
        <v>46</v>
      </c>
      <c r="AU30" s="1">
        <v>50</v>
      </c>
      <c r="AV30" s="1">
        <v>62</v>
      </c>
      <c r="AW30" s="1">
        <v>60</v>
      </c>
      <c r="AX30" s="1">
        <v>50</v>
      </c>
      <c r="AY30" s="1">
        <v>60</v>
      </c>
      <c r="AZ30" s="1">
        <v>50</v>
      </c>
      <c r="BA30" s="1">
        <v>32</v>
      </c>
      <c r="BB30" s="1">
        <v>57</v>
      </c>
      <c r="BC30" s="1">
        <v>74</v>
      </c>
      <c r="BD30" s="1">
        <v>74</v>
      </c>
      <c r="BE30" s="1">
        <v>81</v>
      </c>
      <c r="BF30" s="1">
        <v>78</v>
      </c>
      <c r="BG30" s="1">
        <v>74</v>
      </c>
      <c r="BH30" s="1">
        <v>66</v>
      </c>
      <c r="BI30" s="1">
        <v>58</v>
      </c>
      <c r="BJ30" s="1">
        <v>58</v>
      </c>
      <c r="BK30" s="1">
        <v>74</v>
      </c>
      <c r="BL30" s="1">
        <v>77</v>
      </c>
      <c r="BM30" s="1">
        <v>87</v>
      </c>
      <c r="BN30" s="1">
        <v>70</v>
      </c>
      <c r="BO30" s="1">
        <v>76</v>
      </c>
      <c r="BP30" s="1">
        <v>45</v>
      </c>
      <c r="BQ30" s="1">
        <v>61</v>
      </c>
      <c r="BR30" s="1">
        <v>51</v>
      </c>
      <c r="BS30" s="1">
        <v>41</v>
      </c>
      <c r="BT30" s="1">
        <v>77</v>
      </c>
      <c r="BU30" s="1">
        <v>53</v>
      </c>
      <c r="BV30" s="1">
        <v>50</v>
      </c>
      <c r="BW30" s="1">
        <v>67</v>
      </c>
      <c r="BX30" s="1">
        <v>76</v>
      </c>
      <c r="BY30" s="1">
        <v>91</v>
      </c>
      <c r="BZ30" s="1">
        <v>63</v>
      </c>
      <c r="CA30" s="1">
        <v>81</v>
      </c>
      <c r="CB30" s="1">
        <v>63</v>
      </c>
      <c r="CC30" s="1">
        <v>62</v>
      </c>
      <c r="CD30" s="1">
        <v>50</v>
      </c>
      <c r="CE30" s="1">
        <v>55</v>
      </c>
      <c r="CF30" s="1">
        <v>53</v>
      </c>
      <c r="CG30" s="1">
        <v>59</v>
      </c>
      <c r="CH30" s="1">
        <v>65</v>
      </c>
      <c r="CI30" s="1">
        <v>58</v>
      </c>
      <c r="CJ30" s="1">
        <v>57</v>
      </c>
      <c r="CK30" s="1">
        <v>49</v>
      </c>
      <c r="CL30" s="1">
        <v>54</v>
      </c>
      <c r="CM30" s="1">
        <v>66</v>
      </c>
      <c r="CN30" s="1">
        <v>71</v>
      </c>
      <c r="CO30" s="1">
        <v>78</v>
      </c>
    </row>
    <row r="31" spans="1:93" ht="15.75" customHeight="1">
      <c r="A31" s="1" t="s">
        <v>102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</row>
    <row r="32" spans="1:93" ht="15.75" customHeight="1">
      <c r="A32" s="1" t="s">
        <v>103</v>
      </c>
      <c r="B32" s="1">
        <v>28</v>
      </c>
      <c r="C32" s="1">
        <v>13</v>
      </c>
      <c r="D32" s="1">
        <v>18</v>
      </c>
      <c r="E32" s="1">
        <v>25</v>
      </c>
      <c r="F32" s="1">
        <v>22</v>
      </c>
      <c r="G32" s="1">
        <v>24</v>
      </c>
      <c r="H32" s="1">
        <v>22</v>
      </c>
      <c r="I32" s="1">
        <v>32</v>
      </c>
      <c r="J32" s="1">
        <v>20</v>
      </c>
      <c r="K32" s="1">
        <v>22</v>
      </c>
      <c r="L32" s="1">
        <v>23</v>
      </c>
      <c r="M32" s="1">
        <v>25</v>
      </c>
      <c r="N32" s="1">
        <v>25</v>
      </c>
      <c r="O32" s="1">
        <v>29</v>
      </c>
      <c r="P32" s="1">
        <v>35</v>
      </c>
      <c r="Q32" s="1">
        <v>25</v>
      </c>
      <c r="R32" s="1">
        <v>28</v>
      </c>
      <c r="S32" s="1">
        <v>28</v>
      </c>
      <c r="T32" s="1">
        <v>27</v>
      </c>
      <c r="U32" s="1">
        <v>22</v>
      </c>
      <c r="V32" s="1">
        <v>34</v>
      </c>
      <c r="W32" s="1">
        <v>33</v>
      </c>
      <c r="X32" s="1">
        <v>30</v>
      </c>
      <c r="Y32" s="1">
        <v>26</v>
      </c>
      <c r="Z32" s="1">
        <v>31</v>
      </c>
      <c r="AA32" s="1">
        <v>25</v>
      </c>
      <c r="AB32" s="1">
        <v>22</v>
      </c>
      <c r="AC32" s="1">
        <v>34</v>
      </c>
      <c r="AD32" s="1">
        <v>30</v>
      </c>
      <c r="AE32" s="1">
        <v>31</v>
      </c>
      <c r="AF32" s="1">
        <v>40</v>
      </c>
      <c r="AG32" s="1">
        <v>40</v>
      </c>
      <c r="AH32" s="1">
        <v>54</v>
      </c>
      <c r="AI32" s="1">
        <v>62</v>
      </c>
      <c r="AJ32" s="1">
        <v>52</v>
      </c>
      <c r="AK32" s="1">
        <v>73</v>
      </c>
      <c r="AL32" s="1">
        <v>38</v>
      </c>
      <c r="AM32" s="1">
        <v>36</v>
      </c>
      <c r="AN32" s="1">
        <v>47</v>
      </c>
      <c r="AO32" s="1">
        <v>31</v>
      </c>
      <c r="AP32" s="1">
        <v>46</v>
      </c>
      <c r="AQ32" s="1">
        <v>45</v>
      </c>
      <c r="AR32" s="1">
        <v>55</v>
      </c>
      <c r="AS32" s="1">
        <v>35</v>
      </c>
      <c r="AT32" s="1">
        <v>47</v>
      </c>
      <c r="AU32" s="1">
        <v>45</v>
      </c>
      <c r="AV32" s="1">
        <v>35</v>
      </c>
      <c r="AW32" s="1">
        <v>35</v>
      </c>
      <c r="AX32" s="1">
        <v>50</v>
      </c>
      <c r="AY32" s="1">
        <v>61</v>
      </c>
      <c r="AZ32" s="1">
        <v>42</v>
      </c>
      <c r="BA32" s="1">
        <v>37</v>
      </c>
      <c r="BB32" s="1">
        <v>50</v>
      </c>
      <c r="BC32" s="1">
        <v>41</v>
      </c>
      <c r="BD32" s="1">
        <v>44</v>
      </c>
      <c r="BE32" s="1">
        <v>60</v>
      </c>
      <c r="BF32" s="1">
        <v>55</v>
      </c>
      <c r="BG32" s="1">
        <v>52</v>
      </c>
      <c r="BH32" s="1">
        <v>39</v>
      </c>
      <c r="BI32" s="1">
        <v>49</v>
      </c>
      <c r="BJ32" s="1">
        <v>48</v>
      </c>
      <c r="BK32" s="1">
        <v>67</v>
      </c>
      <c r="BL32" s="1">
        <v>54</v>
      </c>
      <c r="BM32" s="1">
        <v>73</v>
      </c>
      <c r="BN32" s="1">
        <v>55</v>
      </c>
      <c r="BO32" s="1">
        <v>44</v>
      </c>
      <c r="BP32" s="1">
        <v>43</v>
      </c>
      <c r="BQ32" s="1">
        <v>43</v>
      </c>
      <c r="BR32" s="1">
        <v>54</v>
      </c>
      <c r="BS32" s="1">
        <v>36</v>
      </c>
      <c r="BT32" s="1">
        <v>64</v>
      </c>
      <c r="BU32" s="1">
        <v>40</v>
      </c>
      <c r="BV32" s="1">
        <v>38</v>
      </c>
      <c r="BW32" s="1">
        <v>56</v>
      </c>
      <c r="BX32" s="1">
        <v>47</v>
      </c>
      <c r="BY32" s="1">
        <v>61</v>
      </c>
      <c r="BZ32" s="1">
        <v>68</v>
      </c>
      <c r="CA32" s="1">
        <v>46</v>
      </c>
      <c r="CB32" s="1">
        <v>44</v>
      </c>
      <c r="CC32" s="1">
        <v>37</v>
      </c>
      <c r="CD32" s="1">
        <v>52</v>
      </c>
      <c r="CE32" s="1">
        <v>39</v>
      </c>
      <c r="CF32" s="1">
        <v>39</v>
      </c>
      <c r="CG32" s="1">
        <v>45</v>
      </c>
      <c r="CH32" s="1">
        <v>53</v>
      </c>
      <c r="CI32" s="1">
        <v>30</v>
      </c>
      <c r="CJ32" s="1">
        <v>45</v>
      </c>
      <c r="CK32" s="1">
        <v>27</v>
      </c>
      <c r="CL32" s="1">
        <v>31</v>
      </c>
      <c r="CM32" s="1">
        <v>53</v>
      </c>
      <c r="CN32" s="1">
        <v>68</v>
      </c>
      <c r="CO32" s="1">
        <v>58</v>
      </c>
    </row>
    <row r="33" spans="1:93" ht="15.75" customHeight="1">
      <c r="A33" s="1" t="s">
        <v>104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</row>
    <row r="34" spans="1:93" ht="15.75" customHeight="1">
      <c r="A34" s="1" t="s">
        <v>105</v>
      </c>
      <c r="B34" s="1">
        <v>1</v>
      </c>
      <c r="C34" s="1"/>
      <c r="D34" s="1"/>
      <c r="E34" s="1"/>
      <c r="F34" s="1"/>
      <c r="G34" s="1"/>
      <c r="H34" s="1"/>
      <c r="I34" s="1">
        <v>1</v>
      </c>
      <c r="J34" s="1"/>
      <c r="K34" s="1"/>
      <c r="L34" s="1"/>
      <c r="M34" s="1"/>
      <c r="N34" s="1"/>
      <c r="O34" s="1"/>
      <c r="P34" s="1"/>
      <c r="Q34" s="1">
        <v>1</v>
      </c>
      <c r="R34" s="1"/>
      <c r="S34" s="1"/>
      <c r="T34" s="1"/>
      <c r="U34" s="1"/>
      <c r="V34" s="1">
        <v>1</v>
      </c>
      <c r="W34" s="1"/>
      <c r="X34" s="1"/>
      <c r="Y34" s="1"/>
      <c r="Z34" s="1"/>
      <c r="AA34" s="1"/>
      <c r="AB34" s="1"/>
      <c r="AC34" s="1">
        <v>2</v>
      </c>
      <c r="AD34" s="1">
        <v>1</v>
      </c>
      <c r="AE34" s="1">
        <v>1</v>
      </c>
      <c r="AF34" s="1"/>
      <c r="AG34" s="1">
        <v>5</v>
      </c>
      <c r="AH34" s="1">
        <v>5</v>
      </c>
      <c r="AI34" s="1">
        <v>8</v>
      </c>
      <c r="AJ34" s="1">
        <v>7</v>
      </c>
      <c r="AK34" s="1">
        <v>11</v>
      </c>
      <c r="AL34" s="1">
        <v>5</v>
      </c>
      <c r="AM34" s="1">
        <v>6</v>
      </c>
      <c r="AN34" s="1">
        <v>6</v>
      </c>
      <c r="AO34" s="1">
        <v>6</v>
      </c>
      <c r="AP34" s="1">
        <v>7</v>
      </c>
      <c r="AQ34" s="1">
        <v>14</v>
      </c>
      <c r="AR34" s="1">
        <v>11</v>
      </c>
      <c r="AS34" s="1">
        <v>7</v>
      </c>
      <c r="AT34" s="1">
        <v>20</v>
      </c>
      <c r="AU34" s="1">
        <v>18</v>
      </c>
      <c r="AV34" s="1">
        <v>9</v>
      </c>
      <c r="AW34" s="1">
        <v>21</v>
      </c>
      <c r="AX34" s="1">
        <v>18</v>
      </c>
      <c r="AY34" s="1">
        <v>20</v>
      </c>
      <c r="AZ34" s="1">
        <v>22</v>
      </c>
      <c r="BA34" s="1">
        <v>25</v>
      </c>
      <c r="BB34" s="1">
        <v>24</v>
      </c>
      <c r="BC34" s="1">
        <v>32</v>
      </c>
      <c r="BD34" s="1">
        <v>19</v>
      </c>
      <c r="BE34" s="1">
        <v>30</v>
      </c>
      <c r="BF34" s="1">
        <v>24</v>
      </c>
      <c r="BG34" s="1">
        <v>23</v>
      </c>
      <c r="BH34" s="1">
        <v>25</v>
      </c>
      <c r="BI34" s="1">
        <v>28</v>
      </c>
      <c r="BJ34" s="1">
        <v>33</v>
      </c>
      <c r="BK34" s="1">
        <v>48</v>
      </c>
      <c r="BL34" s="1">
        <v>44</v>
      </c>
      <c r="BM34" s="1">
        <v>41</v>
      </c>
      <c r="BN34" s="1">
        <v>36</v>
      </c>
      <c r="BO34" s="1">
        <v>41</v>
      </c>
      <c r="BP34" s="1">
        <v>29</v>
      </c>
      <c r="BQ34" s="1">
        <v>38</v>
      </c>
      <c r="BR34" s="1">
        <v>28</v>
      </c>
      <c r="BS34" s="1">
        <v>24</v>
      </c>
      <c r="BT34" s="1">
        <v>29</v>
      </c>
      <c r="BU34" s="1">
        <v>32</v>
      </c>
      <c r="BV34" s="1">
        <v>40</v>
      </c>
      <c r="BW34" s="1">
        <v>29</v>
      </c>
      <c r="BX34" s="1">
        <v>36</v>
      </c>
      <c r="BY34" s="1">
        <v>44</v>
      </c>
      <c r="BZ34" s="1">
        <v>35</v>
      </c>
      <c r="CA34" s="1">
        <v>44</v>
      </c>
      <c r="CB34" s="1">
        <v>39</v>
      </c>
      <c r="CC34" s="1">
        <v>35</v>
      </c>
      <c r="CD34" s="1">
        <v>43</v>
      </c>
      <c r="CE34" s="1">
        <v>49</v>
      </c>
      <c r="CF34" s="1">
        <v>45</v>
      </c>
      <c r="CG34" s="1">
        <v>33</v>
      </c>
      <c r="CH34" s="1">
        <v>51</v>
      </c>
      <c r="CI34" s="1">
        <v>31</v>
      </c>
      <c r="CJ34" s="1">
        <v>36</v>
      </c>
      <c r="CK34" s="1">
        <v>31</v>
      </c>
      <c r="CL34" s="1">
        <v>45</v>
      </c>
      <c r="CM34" s="1">
        <v>41</v>
      </c>
      <c r="CN34" s="1">
        <v>47</v>
      </c>
      <c r="CO34" s="1">
        <v>45</v>
      </c>
    </row>
    <row r="35" spans="1:93" ht="15.75" customHeight="1">
      <c r="A35" s="1" t="s">
        <v>106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</row>
    <row r="36" spans="1:93" ht="15.75" customHeight="1">
      <c r="A36" s="1" t="s">
        <v>107</v>
      </c>
      <c r="B36" s="1">
        <v>28</v>
      </c>
      <c r="C36" s="1">
        <v>35</v>
      </c>
      <c r="D36" s="1">
        <v>23</v>
      </c>
      <c r="E36" s="1">
        <v>37</v>
      </c>
      <c r="F36" s="1">
        <v>29</v>
      </c>
      <c r="G36" s="1">
        <v>32</v>
      </c>
      <c r="H36" s="1">
        <v>27</v>
      </c>
      <c r="I36" s="1">
        <v>13</v>
      </c>
      <c r="J36" s="1">
        <v>15</v>
      </c>
      <c r="K36" s="1">
        <v>19</v>
      </c>
      <c r="L36" s="1">
        <v>21</v>
      </c>
      <c r="M36" s="1">
        <v>19</v>
      </c>
      <c r="N36" s="1">
        <v>21</v>
      </c>
      <c r="O36" s="1">
        <v>27</v>
      </c>
      <c r="P36" s="1">
        <v>22</v>
      </c>
      <c r="Q36" s="1">
        <v>22</v>
      </c>
      <c r="R36" s="1">
        <v>20</v>
      </c>
      <c r="S36" s="1">
        <v>18</v>
      </c>
      <c r="T36" s="1">
        <v>11</v>
      </c>
      <c r="U36" s="1">
        <v>7</v>
      </c>
      <c r="V36" s="1">
        <v>8</v>
      </c>
      <c r="W36" s="1">
        <v>13</v>
      </c>
      <c r="X36" s="1">
        <v>5</v>
      </c>
      <c r="Y36" s="1">
        <v>3</v>
      </c>
      <c r="Z36" s="1">
        <v>10</v>
      </c>
      <c r="AA36" s="1">
        <v>8</v>
      </c>
      <c r="AB36" s="1">
        <v>4</v>
      </c>
      <c r="AC36" s="1">
        <v>2</v>
      </c>
      <c r="AD36" s="1">
        <v>9</v>
      </c>
      <c r="AE36" s="1">
        <v>5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>
        <v>1</v>
      </c>
      <c r="BA36" s="1">
        <v>3</v>
      </c>
      <c r="BB36" s="1">
        <v>4</v>
      </c>
      <c r="BC36" s="1">
        <v>7</v>
      </c>
      <c r="BD36" s="1">
        <v>7</v>
      </c>
      <c r="BE36" s="1">
        <v>16</v>
      </c>
      <c r="BF36" s="1">
        <v>24</v>
      </c>
      <c r="BG36" s="1">
        <v>14</v>
      </c>
      <c r="BH36" s="1">
        <v>22</v>
      </c>
      <c r="BI36" s="1">
        <v>24</v>
      </c>
      <c r="BJ36" s="1">
        <v>18</v>
      </c>
      <c r="BK36" s="1">
        <v>14</v>
      </c>
      <c r="BL36" s="1">
        <v>12</v>
      </c>
      <c r="BM36" s="1">
        <v>9</v>
      </c>
      <c r="BN36" s="1">
        <v>10</v>
      </c>
      <c r="BO36" s="1">
        <v>16</v>
      </c>
      <c r="BP36" s="1">
        <v>20</v>
      </c>
      <c r="BQ36" s="1">
        <v>11</v>
      </c>
      <c r="BR36" s="1">
        <v>10</v>
      </c>
      <c r="BS36" s="1">
        <v>14</v>
      </c>
      <c r="BT36" s="1">
        <v>17</v>
      </c>
      <c r="BU36" s="1">
        <v>18</v>
      </c>
      <c r="BV36" s="1">
        <v>39</v>
      </c>
      <c r="BW36" s="1">
        <v>23</v>
      </c>
      <c r="BX36" s="1">
        <v>20</v>
      </c>
      <c r="BY36" s="1">
        <v>23</v>
      </c>
      <c r="BZ36" s="1">
        <v>29</v>
      </c>
      <c r="CA36" s="1">
        <v>20</v>
      </c>
      <c r="CB36" s="1">
        <v>25</v>
      </c>
      <c r="CC36" s="1">
        <v>30</v>
      </c>
      <c r="CD36" s="1">
        <v>19</v>
      </c>
      <c r="CE36" s="1">
        <v>29</v>
      </c>
      <c r="CF36" s="1">
        <v>19</v>
      </c>
      <c r="CG36" s="1">
        <v>27</v>
      </c>
      <c r="CH36" s="1">
        <v>24</v>
      </c>
      <c r="CI36" s="1">
        <v>26</v>
      </c>
      <c r="CJ36" s="1">
        <v>20</v>
      </c>
      <c r="CK36" s="1">
        <v>31</v>
      </c>
      <c r="CL36" s="1">
        <v>27</v>
      </c>
      <c r="CM36" s="1">
        <v>25</v>
      </c>
      <c r="CN36" s="1">
        <v>24</v>
      </c>
      <c r="CO36" s="1">
        <v>39</v>
      </c>
    </row>
    <row r="37" spans="1:93" ht="15.75" customHeight="1">
      <c r="A37" s="1" t="s">
        <v>108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>
        <v>2</v>
      </c>
      <c r="BM37" s="1">
        <v>2</v>
      </c>
      <c r="BN37" s="1">
        <v>1</v>
      </c>
      <c r="BO37" s="1">
        <v>4</v>
      </c>
      <c r="BP37" s="1">
        <v>3</v>
      </c>
      <c r="BQ37" s="1">
        <v>6</v>
      </c>
      <c r="BR37" s="1">
        <v>4</v>
      </c>
      <c r="BS37" s="1">
        <v>4</v>
      </c>
      <c r="BT37" s="1">
        <v>2</v>
      </c>
      <c r="BU37" s="1">
        <v>4</v>
      </c>
      <c r="BV37" s="1"/>
      <c r="BW37" s="1">
        <v>4</v>
      </c>
      <c r="BX37" s="1">
        <v>6</v>
      </c>
      <c r="BY37" s="1">
        <v>7</v>
      </c>
      <c r="BZ37" s="1">
        <v>1</v>
      </c>
      <c r="CA37" s="1">
        <v>6</v>
      </c>
      <c r="CB37" s="1">
        <v>3</v>
      </c>
      <c r="CC37" s="1">
        <v>1</v>
      </c>
      <c r="CD37" s="1">
        <v>5</v>
      </c>
      <c r="CE37" s="1">
        <v>4</v>
      </c>
      <c r="CF37" s="1">
        <v>1</v>
      </c>
      <c r="CG37" s="1">
        <v>4</v>
      </c>
      <c r="CH37" s="1">
        <v>3</v>
      </c>
      <c r="CI37" s="1">
        <v>1</v>
      </c>
      <c r="CJ37" s="1">
        <v>4</v>
      </c>
      <c r="CK37" s="1">
        <v>3</v>
      </c>
      <c r="CL37" s="1">
        <v>1</v>
      </c>
      <c r="CM37" s="1">
        <v>6</v>
      </c>
      <c r="CN37" s="1">
        <v>5</v>
      </c>
      <c r="CO37" s="1">
        <v>2</v>
      </c>
    </row>
    <row r="38" spans="1:93" ht="15.75" customHeight="1">
      <c r="A38" s="1" t="s">
        <v>109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</row>
    <row r="39" spans="1:93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</row>
    <row r="40" spans="1:93" ht="15.75" customHeight="1">
      <c r="A40" s="2" t="s">
        <v>111</v>
      </c>
      <c r="B40" s="1" t="s">
        <v>116</v>
      </c>
      <c r="C40" s="1" t="s">
        <v>117</v>
      </c>
      <c r="D40" s="1" t="s">
        <v>118</v>
      </c>
      <c r="E40" s="1" t="s">
        <v>119</v>
      </c>
      <c r="F40" s="1" t="s">
        <v>120</v>
      </c>
      <c r="G40" s="1" t="s">
        <v>121</v>
      </c>
      <c r="H40" s="1" t="s">
        <v>122</v>
      </c>
      <c r="I40" s="1" t="s">
        <v>123</v>
      </c>
      <c r="J40" s="1" t="s">
        <v>124</v>
      </c>
      <c r="K40" s="1" t="s">
        <v>125</v>
      </c>
      <c r="L40" s="1" t="s">
        <v>126</v>
      </c>
      <c r="M40" s="1" t="s">
        <v>127</v>
      </c>
      <c r="N40" s="1" t="s">
        <v>128</v>
      </c>
      <c r="O40" s="1" t="s">
        <v>129</v>
      </c>
      <c r="P40" s="1" t="s">
        <v>130</v>
      </c>
      <c r="Q40" s="1" t="s">
        <v>131</v>
      </c>
      <c r="R40" s="1" t="s">
        <v>132</v>
      </c>
      <c r="S40" s="1" t="s">
        <v>133</v>
      </c>
      <c r="T40" s="1" t="s">
        <v>134</v>
      </c>
      <c r="U40" s="1" t="s">
        <v>135</v>
      </c>
      <c r="V40" s="1" t="s">
        <v>136</v>
      </c>
      <c r="W40" s="1" t="s">
        <v>137</v>
      </c>
      <c r="X40" s="1" t="s">
        <v>138</v>
      </c>
      <c r="Y40" s="1" t="s">
        <v>139</v>
      </c>
      <c r="Z40" s="1" t="s">
        <v>140</v>
      </c>
      <c r="AA40" s="1" t="s">
        <v>141</v>
      </c>
      <c r="AB40" s="1" t="s">
        <v>142</v>
      </c>
      <c r="AC40" s="1" t="s">
        <v>143</v>
      </c>
      <c r="AD40" s="1" t="s">
        <v>144</v>
      </c>
      <c r="AE40" s="1" t="s">
        <v>145</v>
      </c>
      <c r="AF40" s="1" t="s">
        <v>146</v>
      </c>
      <c r="AG40" s="1" t="s">
        <v>147</v>
      </c>
      <c r="AH40" s="1" t="s">
        <v>148</v>
      </c>
      <c r="AI40" s="1" t="s">
        <v>149</v>
      </c>
      <c r="AJ40" s="1" t="s">
        <v>150</v>
      </c>
      <c r="AK40" s="1" t="s">
        <v>151</v>
      </c>
      <c r="AL40" s="1" t="s">
        <v>152</v>
      </c>
      <c r="AM40" s="1" t="s">
        <v>153</v>
      </c>
      <c r="AN40" s="1" t="s">
        <v>154</v>
      </c>
      <c r="AO40" s="1" t="s">
        <v>155</v>
      </c>
      <c r="AP40" s="1" t="s">
        <v>156</v>
      </c>
      <c r="AQ40" s="1" t="s">
        <v>157</v>
      </c>
      <c r="AR40" s="1" t="s">
        <v>158</v>
      </c>
      <c r="AS40" s="1" t="s">
        <v>159</v>
      </c>
      <c r="AT40" s="1" t="s">
        <v>160</v>
      </c>
      <c r="AU40" s="1" t="s">
        <v>161</v>
      </c>
      <c r="AV40" s="1" t="s">
        <v>162</v>
      </c>
      <c r="AW40" s="1" t="s">
        <v>163</v>
      </c>
      <c r="AX40" s="1" t="s">
        <v>164</v>
      </c>
      <c r="AY40" s="1" t="s">
        <v>165</v>
      </c>
      <c r="AZ40" s="1" t="s">
        <v>166</v>
      </c>
      <c r="BA40" s="1" t="s">
        <v>167</v>
      </c>
      <c r="BB40" s="1" t="s">
        <v>168</v>
      </c>
      <c r="BC40" s="1" t="s">
        <v>169</v>
      </c>
      <c r="BD40" s="1" t="s">
        <v>170</v>
      </c>
      <c r="BE40" s="1" t="s">
        <v>171</v>
      </c>
      <c r="BF40" s="1" t="s">
        <v>172</v>
      </c>
      <c r="BG40" s="1" t="s">
        <v>173</v>
      </c>
      <c r="BH40" s="1" t="s">
        <v>174</v>
      </c>
      <c r="BI40" s="1" t="s">
        <v>175</v>
      </c>
      <c r="BJ40" s="1" t="s">
        <v>176</v>
      </c>
      <c r="BK40" s="1" t="s">
        <v>177</v>
      </c>
      <c r="BL40" s="1" t="s">
        <v>178</v>
      </c>
      <c r="BM40" s="1" t="s">
        <v>179</v>
      </c>
      <c r="BN40" s="1" t="s">
        <v>180</v>
      </c>
      <c r="BO40" s="1" t="s">
        <v>181</v>
      </c>
      <c r="BP40" s="1" t="s">
        <v>182</v>
      </c>
      <c r="BQ40" s="1" t="s">
        <v>183</v>
      </c>
      <c r="BR40" s="1" t="s">
        <v>184</v>
      </c>
      <c r="BS40" s="1" t="s">
        <v>185</v>
      </c>
      <c r="BT40" s="1" t="s">
        <v>186</v>
      </c>
      <c r="BU40" s="1" t="s">
        <v>187</v>
      </c>
      <c r="BV40" s="1" t="s">
        <v>188</v>
      </c>
      <c r="BW40" s="1" t="s">
        <v>189</v>
      </c>
      <c r="BX40" s="1" t="s">
        <v>190</v>
      </c>
      <c r="BY40" s="1" t="s">
        <v>191</v>
      </c>
      <c r="BZ40" s="1" t="s">
        <v>192</v>
      </c>
      <c r="CA40" s="1" t="s">
        <v>193</v>
      </c>
      <c r="CB40" s="1" t="s">
        <v>194</v>
      </c>
      <c r="CC40" s="1" t="s">
        <v>195</v>
      </c>
      <c r="CD40" s="1" t="s">
        <v>196</v>
      </c>
      <c r="CE40" s="1" t="s">
        <v>197</v>
      </c>
      <c r="CF40" s="1" t="s">
        <v>198</v>
      </c>
      <c r="CG40" s="1" t="s">
        <v>199</v>
      </c>
      <c r="CH40" s="1" t="s">
        <v>200</v>
      </c>
      <c r="CI40" s="1" t="s">
        <v>201</v>
      </c>
      <c r="CJ40" s="1" t="s">
        <v>202</v>
      </c>
      <c r="CK40" s="1" t="s">
        <v>203</v>
      </c>
      <c r="CL40" s="1" t="s">
        <v>204</v>
      </c>
      <c r="CM40" s="1" t="s">
        <v>205</v>
      </c>
      <c r="CN40" s="1" t="s">
        <v>206</v>
      </c>
      <c r="CO40" s="1" t="s">
        <v>209</v>
      </c>
    </row>
    <row r="41" spans="1:93" ht="15.75" customHeight="1">
      <c r="A41" s="3" t="s">
        <v>1</v>
      </c>
      <c r="B41" s="3" t="s">
        <v>2</v>
      </c>
      <c r="C41" s="3" t="s">
        <v>3</v>
      </c>
      <c r="D41" s="3" t="s">
        <v>4</v>
      </c>
      <c r="E41" s="3" t="s">
        <v>5</v>
      </c>
      <c r="F41" s="3" t="s">
        <v>6</v>
      </c>
      <c r="G41" s="3" t="s">
        <v>7</v>
      </c>
      <c r="H41" s="3" t="s">
        <v>8</v>
      </c>
      <c r="I41" s="3" t="s">
        <v>9</v>
      </c>
      <c r="J41" s="3" t="s">
        <v>10</v>
      </c>
      <c r="K41" s="3" t="s">
        <v>11</v>
      </c>
      <c r="L41" s="3" t="s">
        <v>12</v>
      </c>
      <c r="M41" s="3" t="s">
        <v>13</v>
      </c>
      <c r="N41" s="3" t="s">
        <v>14</v>
      </c>
      <c r="O41" s="3" t="s">
        <v>15</v>
      </c>
      <c r="P41" s="3" t="s">
        <v>16</v>
      </c>
      <c r="Q41" s="3" t="s">
        <v>17</v>
      </c>
      <c r="R41" s="3" t="s">
        <v>18</v>
      </c>
      <c r="S41" s="3" t="s">
        <v>19</v>
      </c>
      <c r="T41" s="3" t="s">
        <v>20</v>
      </c>
      <c r="U41" s="3" t="s">
        <v>21</v>
      </c>
      <c r="V41" s="3" t="s">
        <v>22</v>
      </c>
      <c r="W41" s="3" t="s">
        <v>23</v>
      </c>
      <c r="X41" s="3" t="s">
        <v>24</v>
      </c>
      <c r="Y41" s="3" t="s">
        <v>25</v>
      </c>
      <c r="Z41" s="3" t="s">
        <v>26</v>
      </c>
      <c r="AA41" s="3" t="s">
        <v>27</v>
      </c>
      <c r="AB41" s="3" t="s">
        <v>28</v>
      </c>
      <c r="AC41" s="3" t="s">
        <v>29</v>
      </c>
      <c r="AD41" s="3" t="s">
        <v>30</v>
      </c>
      <c r="AE41" s="3" t="s">
        <v>31</v>
      </c>
      <c r="AF41" s="3" t="s">
        <v>32</v>
      </c>
      <c r="AG41" s="3" t="s">
        <v>33</v>
      </c>
      <c r="AH41" s="3" t="s">
        <v>34</v>
      </c>
      <c r="AI41" s="3" t="s">
        <v>35</v>
      </c>
      <c r="AJ41" s="3" t="s">
        <v>36</v>
      </c>
      <c r="AK41" s="3" t="s">
        <v>37</v>
      </c>
      <c r="AL41" s="3" t="s">
        <v>38</v>
      </c>
      <c r="AM41" s="3" t="s">
        <v>39</v>
      </c>
      <c r="AN41" s="3" t="s">
        <v>40</v>
      </c>
      <c r="AO41" s="3" t="s">
        <v>41</v>
      </c>
      <c r="AP41" s="3" t="s">
        <v>42</v>
      </c>
      <c r="AQ41" s="3" t="s">
        <v>43</v>
      </c>
      <c r="AR41" s="3" t="s">
        <v>44</v>
      </c>
      <c r="AS41" s="3" t="s">
        <v>45</v>
      </c>
      <c r="AT41" s="3" t="s">
        <v>46</v>
      </c>
      <c r="AU41" s="3" t="s">
        <v>47</v>
      </c>
      <c r="AV41" s="3" t="s">
        <v>48</v>
      </c>
      <c r="AW41" s="3" t="s">
        <v>49</v>
      </c>
      <c r="AX41" s="3" t="s">
        <v>50</v>
      </c>
      <c r="AY41" s="3" t="s">
        <v>51</v>
      </c>
      <c r="AZ41" s="3" t="s">
        <v>52</v>
      </c>
      <c r="BA41" s="3" t="s">
        <v>53</v>
      </c>
      <c r="BB41" s="3" t="s">
        <v>54</v>
      </c>
      <c r="BC41" s="3" t="s">
        <v>55</v>
      </c>
      <c r="BD41" s="3" t="s">
        <v>56</v>
      </c>
      <c r="BE41" s="3" t="s">
        <v>57</v>
      </c>
      <c r="BF41" s="3" t="s">
        <v>58</v>
      </c>
      <c r="BG41" s="3" t="s">
        <v>59</v>
      </c>
      <c r="BH41" s="3" t="s">
        <v>60</v>
      </c>
      <c r="BI41" s="3" t="s">
        <v>61</v>
      </c>
      <c r="BJ41" s="3" t="s">
        <v>62</v>
      </c>
      <c r="BK41" s="3" t="s">
        <v>63</v>
      </c>
      <c r="BL41" s="3" t="s">
        <v>64</v>
      </c>
      <c r="BM41" s="3" t="s">
        <v>65</v>
      </c>
      <c r="BN41" s="3" t="s">
        <v>66</v>
      </c>
      <c r="BO41" s="3" t="s">
        <v>67</v>
      </c>
      <c r="BP41" s="3" t="s">
        <v>68</v>
      </c>
      <c r="BQ41" s="3" t="s">
        <v>69</v>
      </c>
      <c r="BR41" s="3" t="s">
        <v>70</v>
      </c>
      <c r="BS41" s="3" t="s">
        <v>71</v>
      </c>
      <c r="BT41" s="3" t="s">
        <v>72</v>
      </c>
      <c r="BU41" s="3" t="s">
        <v>73</v>
      </c>
      <c r="BV41" s="3" t="s">
        <v>74</v>
      </c>
      <c r="BW41" s="3" t="s">
        <v>75</v>
      </c>
      <c r="BX41" s="3" t="s">
        <v>76</v>
      </c>
      <c r="BY41" s="3" t="s">
        <v>77</v>
      </c>
      <c r="BZ41" s="3" t="s">
        <v>78</v>
      </c>
      <c r="CA41" s="3" t="s">
        <v>79</v>
      </c>
      <c r="CB41" s="3" t="s">
        <v>80</v>
      </c>
      <c r="CC41" s="3" t="s">
        <v>81</v>
      </c>
      <c r="CD41" s="3" t="s">
        <v>82</v>
      </c>
      <c r="CE41" s="3" t="s">
        <v>83</v>
      </c>
      <c r="CF41" s="3" t="s">
        <v>84</v>
      </c>
      <c r="CG41" s="3" t="s">
        <v>85</v>
      </c>
      <c r="CH41" s="3" t="s">
        <v>86</v>
      </c>
      <c r="CI41" s="3" t="s">
        <v>87</v>
      </c>
      <c r="CJ41" s="3" t="s">
        <v>88</v>
      </c>
      <c r="CK41" s="3" t="s">
        <v>89</v>
      </c>
      <c r="CL41" s="3" t="s">
        <v>90</v>
      </c>
      <c r="CM41" s="3" t="s">
        <v>91</v>
      </c>
      <c r="CN41" s="3" t="s">
        <v>92</v>
      </c>
      <c r="CO41" s="3" t="s">
        <v>93</v>
      </c>
    </row>
    <row r="42" spans="1:93" ht="15.75" customHeight="1">
      <c r="A42" s="1" t="s">
        <v>94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>
        <v>1</v>
      </c>
      <c r="CH42" s="1"/>
      <c r="CI42" s="1">
        <v>1</v>
      </c>
      <c r="CJ42" s="1">
        <v>2</v>
      </c>
      <c r="CK42" s="1">
        <v>6</v>
      </c>
      <c r="CL42" s="1">
        <v>6</v>
      </c>
      <c r="CM42" s="1">
        <v>3</v>
      </c>
      <c r="CN42" s="1">
        <v>15</v>
      </c>
      <c r="CO42" s="1">
        <v>6</v>
      </c>
    </row>
    <row r="43" spans="1:93" ht="15.75" customHeight="1">
      <c r="A43" s="1" t="s">
        <v>95</v>
      </c>
      <c r="B43" s="1">
        <v>103</v>
      </c>
      <c r="C43" s="1">
        <v>78</v>
      </c>
      <c r="D43" s="1">
        <v>100</v>
      </c>
      <c r="E43" s="1">
        <v>93</v>
      </c>
      <c r="F43" s="1">
        <v>104</v>
      </c>
      <c r="G43" s="1">
        <v>111</v>
      </c>
      <c r="H43" s="1">
        <v>117</v>
      </c>
      <c r="I43" s="1">
        <v>105</v>
      </c>
      <c r="J43" s="1">
        <v>105</v>
      </c>
      <c r="K43" s="1">
        <v>102</v>
      </c>
      <c r="L43" s="1">
        <v>93</v>
      </c>
      <c r="M43" s="1">
        <v>93</v>
      </c>
      <c r="N43" s="1">
        <v>64</v>
      </c>
      <c r="O43" s="1">
        <v>99</v>
      </c>
      <c r="P43" s="1">
        <v>120</v>
      </c>
      <c r="Q43" s="1">
        <v>78</v>
      </c>
      <c r="R43" s="1">
        <v>92</v>
      </c>
      <c r="S43" s="1">
        <v>108</v>
      </c>
      <c r="T43" s="1">
        <v>98</v>
      </c>
      <c r="U43" s="1">
        <v>96</v>
      </c>
      <c r="V43" s="1">
        <v>85</v>
      </c>
      <c r="W43" s="1">
        <v>86</v>
      </c>
      <c r="X43" s="1">
        <v>86</v>
      </c>
      <c r="Y43" s="1">
        <v>107</v>
      </c>
      <c r="Z43" s="1">
        <v>90</v>
      </c>
      <c r="AA43" s="1">
        <v>100</v>
      </c>
      <c r="AB43" s="1">
        <v>98</v>
      </c>
      <c r="AC43" s="1">
        <v>90</v>
      </c>
      <c r="AD43" s="1">
        <v>95</v>
      </c>
      <c r="AE43" s="1">
        <v>62</v>
      </c>
      <c r="AF43" s="1">
        <v>79</v>
      </c>
      <c r="AG43" s="1">
        <v>109</v>
      </c>
      <c r="AH43" s="1">
        <v>78</v>
      </c>
      <c r="AI43" s="1">
        <v>102</v>
      </c>
      <c r="AJ43" s="1">
        <v>108</v>
      </c>
      <c r="AK43" s="1">
        <v>102</v>
      </c>
      <c r="AL43" s="1">
        <v>104</v>
      </c>
      <c r="AM43" s="1">
        <v>107</v>
      </c>
      <c r="AN43" s="1">
        <v>69</v>
      </c>
      <c r="AO43" s="1">
        <v>101</v>
      </c>
      <c r="AP43" s="1">
        <v>71</v>
      </c>
      <c r="AQ43" s="1">
        <v>92</v>
      </c>
      <c r="AR43" s="1">
        <v>103</v>
      </c>
      <c r="AS43" s="1">
        <v>102</v>
      </c>
      <c r="AT43" s="1">
        <v>123</v>
      </c>
      <c r="AU43" s="1">
        <v>88</v>
      </c>
      <c r="AV43" s="1">
        <v>99</v>
      </c>
      <c r="AW43" s="1">
        <v>90</v>
      </c>
      <c r="AX43" s="1">
        <v>89</v>
      </c>
      <c r="AY43" s="1">
        <v>105</v>
      </c>
      <c r="AZ43" s="1">
        <v>104</v>
      </c>
      <c r="BA43" s="1">
        <v>72</v>
      </c>
      <c r="BB43" s="1">
        <v>111</v>
      </c>
      <c r="BC43" s="1">
        <v>101</v>
      </c>
      <c r="BD43" s="1">
        <v>85</v>
      </c>
      <c r="BE43" s="1">
        <v>86</v>
      </c>
      <c r="BF43" s="1">
        <v>102</v>
      </c>
      <c r="BG43" s="1">
        <v>92</v>
      </c>
      <c r="BH43" s="1">
        <v>79</v>
      </c>
      <c r="BI43" s="1">
        <v>78</v>
      </c>
      <c r="BJ43" s="1">
        <v>100</v>
      </c>
      <c r="BK43" s="1">
        <v>106</v>
      </c>
      <c r="BL43" s="1">
        <v>98</v>
      </c>
      <c r="BM43" s="1">
        <v>121</v>
      </c>
      <c r="BN43" s="1">
        <v>81</v>
      </c>
      <c r="BO43" s="1">
        <v>122</v>
      </c>
      <c r="BP43" s="1">
        <v>110</v>
      </c>
      <c r="BQ43" s="1">
        <v>105</v>
      </c>
      <c r="BR43" s="1">
        <v>88</v>
      </c>
      <c r="BS43" s="1">
        <v>87</v>
      </c>
      <c r="BT43" s="1">
        <v>91</v>
      </c>
      <c r="BU43" s="1">
        <v>83</v>
      </c>
      <c r="BV43" s="1">
        <v>93</v>
      </c>
      <c r="BW43" s="1">
        <v>86</v>
      </c>
      <c r="BX43" s="1">
        <v>82</v>
      </c>
      <c r="BY43" s="1">
        <v>59</v>
      </c>
      <c r="BZ43" s="1">
        <v>65</v>
      </c>
      <c r="CA43" s="1">
        <v>88</v>
      </c>
      <c r="CB43" s="1">
        <v>78</v>
      </c>
      <c r="CC43" s="1">
        <v>106</v>
      </c>
      <c r="CD43" s="1">
        <v>77</v>
      </c>
      <c r="CE43" s="1">
        <v>98</v>
      </c>
      <c r="CF43" s="1">
        <v>90</v>
      </c>
      <c r="CG43" s="1">
        <v>79</v>
      </c>
      <c r="CH43" s="1">
        <v>93</v>
      </c>
      <c r="CI43" s="1">
        <v>89</v>
      </c>
      <c r="CJ43" s="1">
        <v>103</v>
      </c>
      <c r="CK43" s="1">
        <v>82</v>
      </c>
      <c r="CL43" s="1">
        <v>114</v>
      </c>
      <c r="CM43" s="1">
        <v>97</v>
      </c>
      <c r="CN43" s="1">
        <v>98</v>
      </c>
      <c r="CO43" s="1">
        <v>109</v>
      </c>
    </row>
    <row r="44" spans="1:93" ht="15.75" customHeight="1">
      <c r="A44" s="1" t="s">
        <v>96</v>
      </c>
      <c r="B44" s="1">
        <v>156</v>
      </c>
      <c r="C44" s="1">
        <v>130</v>
      </c>
      <c r="D44" s="1">
        <v>165</v>
      </c>
      <c r="E44" s="1">
        <v>153</v>
      </c>
      <c r="F44" s="1">
        <v>164</v>
      </c>
      <c r="G44" s="1">
        <v>166</v>
      </c>
      <c r="H44" s="1">
        <v>154</v>
      </c>
      <c r="I44" s="1">
        <v>162</v>
      </c>
      <c r="J44" s="1">
        <v>148</v>
      </c>
      <c r="K44" s="1">
        <v>144</v>
      </c>
      <c r="L44" s="1">
        <v>152</v>
      </c>
      <c r="M44" s="1">
        <v>159</v>
      </c>
      <c r="N44" s="1">
        <v>169</v>
      </c>
      <c r="O44" s="1">
        <v>164</v>
      </c>
      <c r="P44" s="1">
        <v>175</v>
      </c>
      <c r="Q44" s="1">
        <v>144</v>
      </c>
      <c r="R44" s="1">
        <v>160</v>
      </c>
      <c r="S44" s="1">
        <v>184</v>
      </c>
      <c r="T44" s="1">
        <v>183</v>
      </c>
      <c r="U44" s="1">
        <v>160</v>
      </c>
      <c r="V44" s="1">
        <v>149</v>
      </c>
      <c r="W44" s="1">
        <v>162</v>
      </c>
      <c r="X44" s="1">
        <v>142</v>
      </c>
      <c r="Y44" s="1">
        <v>132</v>
      </c>
      <c r="Z44" s="1">
        <v>118</v>
      </c>
      <c r="AA44" s="1">
        <v>136</v>
      </c>
      <c r="AB44" s="1">
        <v>118</v>
      </c>
      <c r="AC44" s="1">
        <v>130</v>
      </c>
      <c r="AD44" s="1">
        <v>132</v>
      </c>
      <c r="AE44" s="1">
        <v>104</v>
      </c>
      <c r="AF44" s="1">
        <v>130</v>
      </c>
      <c r="AG44" s="1">
        <v>130</v>
      </c>
      <c r="AH44" s="1">
        <v>143</v>
      </c>
      <c r="AI44" s="1">
        <v>169</v>
      </c>
      <c r="AJ44" s="1">
        <v>157</v>
      </c>
      <c r="AK44" s="1">
        <v>155</v>
      </c>
      <c r="AL44" s="1">
        <v>161</v>
      </c>
      <c r="AM44" s="1">
        <v>128</v>
      </c>
      <c r="AN44" s="1">
        <v>127</v>
      </c>
      <c r="AO44" s="1">
        <v>154</v>
      </c>
      <c r="AP44" s="1">
        <v>146</v>
      </c>
      <c r="AQ44" s="1">
        <v>150</v>
      </c>
      <c r="AR44" s="1">
        <v>167</v>
      </c>
      <c r="AS44" s="1">
        <v>180</v>
      </c>
      <c r="AT44" s="1">
        <v>156</v>
      </c>
      <c r="AU44" s="1">
        <v>156</v>
      </c>
      <c r="AV44" s="1">
        <v>144</v>
      </c>
      <c r="AW44" s="1">
        <v>112</v>
      </c>
      <c r="AX44" s="1">
        <v>155</v>
      </c>
      <c r="AY44" s="1">
        <v>154</v>
      </c>
      <c r="AZ44" s="1">
        <v>144</v>
      </c>
      <c r="BA44" s="1">
        <v>186</v>
      </c>
      <c r="BB44" s="1">
        <v>143</v>
      </c>
      <c r="BC44" s="1">
        <v>145</v>
      </c>
      <c r="BD44" s="1">
        <v>136</v>
      </c>
      <c r="BE44" s="1">
        <v>155</v>
      </c>
      <c r="BF44" s="1">
        <v>161</v>
      </c>
      <c r="BG44" s="1">
        <v>126</v>
      </c>
      <c r="BH44" s="1">
        <v>132</v>
      </c>
      <c r="BI44" s="1">
        <v>156</v>
      </c>
      <c r="BJ44" s="1">
        <v>144</v>
      </c>
      <c r="BK44" s="1">
        <v>137</v>
      </c>
      <c r="BL44" s="1">
        <v>129</v>
      </c>
      <c r="BM44" s="1">
        <v>163</v>
      </c>
      <c r="BN44" s="1">
        <v>145</v>
      </c>
      <c r="BO44" s="1">
        <v>176</v>
      </c>
      <c r="BP44" s="1">
        <v>147</v>
      </c>
      <c r="BQ44" s="1">
        <v>165</v>
      </c>
      <c r="BR44" s="1">
        <v>125</v>
      </c>
      <c r="BS44" s="1">
        <v>125</v>
      </c>
      <c r="BT44" s="1">
        <v>138</v>
      </c>
      <c r="BU44" s="1">
        <v>112</v>
      </c>
      <c r="BV44" s="1">
        <v>121</v>
      </c>
      <c r="BW44" s="1">
        <v>148</v>
      </c>
      <c r="BX44" s="1">
        <v>124</v>
      </c>
      <c r="BY44" s="1">
        <v>139</v>
      </c>
      <c r="BZ44" s="1">
        <v>135</v>
      </c>
      <c r="CA44" s="1">
        <v>95</v>
      </c>
      <c r="CB44" s="1">
        <v>125</v>
      </c>
      <c r="CC44" s="1">
        <v>154</v>
      </c>
      <c r="CD44" s="1">
        <v>151</v>
      </c>
      <c r="CE44" s="1">
        <v>144</v>
      </c>
      <c r="CF44" s="1">
        <v>121</v>
      </c>
      <c r="CG44" s="1">
        <v>133</v>
      </c>
      <c r="CH44" s="1">
        <v>149</v>
      </c>
      <c r="CI44" s="1">
        <v>141</v>
      </c>
      <c r="CJ44" s="1">
        <v>134</v>
      </c>
      <c r="CK44" s="1">
        <v>165</v>
      </c>
      <c r="CL44" s="1">
        <v>175</v>
      </c>
      <c r="CM44" s="1">
        <v>151</v>
      </c>
      <c r="CN44" s="1">
        <v>132</v>
      </c>
      <c r="CO44" s="1">
        <v>133</v>
      </c>
    </row>
    <row r="45" spans="1:93" ht="15.75" customHeight="1">
      <c r="A45" s="1" t="s">
        <v>97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</row>
    <row r="46" spans="1:93" ht="15.75" customHeight="1">
      <c r="A46" s="1" t="s">
        <v>98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</row>
    <row r="47" spans="1:93" ht="15.75" customHeight="1">
      <c r="A47" s="1" t="s">
        <v>99</v>
      </c>
      <c r="B47" s="1">
        <v>78</v>
      </c>
      <c r="C47" s="1">
        <v>60</v>
      </c>
      <c r="D47" s="1">
        <v>91</v>
      </c>
      <c r="E47" s="1">
        <v>73</v>
      </c>
      <c r="F47" s="1">
        <v>85</v>
      </c>
      <c r="G47" s="1">
        <v>109</v>
      </c>
      <c r="H47" s="1">
        <v>116</v>
      </c>
      <c r="I47" s="1">
        <v>145</v>
      </c>
      <c r="J47" s="1">
        <v>113</v>
      </c>
      <c r="K47" s="1">
        <v>135</v>
      </c>
      <c r="L47" s="1">
        <v>147</v>
      </c>
      <c r="M47" s="1">
        <v>122</v>
      </c>
      <c r="N47" s="1">
        <v>133</v>
      </c>
      <c r="O47" s="1">
        <v>143</v>
      </c>
      <c r="P47" s="1">
        <v>141</v>
      </c>
      <c r="Q47" s="1">
        <v>97</v>
      </c>
      <c r="R47" s="1">
        <v>104</v>
      </c>
      <c r="S47" s="1">
        <v>76</v>
      </c>
      <c r="T47" s="1">
        <v>84</v>
      </c>
      <c r="U47" s="1">
        <v>75</v>
      </c>
      <c r="V47" s="1">
        <v>120</v>
      </c>
      <c r="W47" s="1">
        <v>82</v>
      </c>
      <c r="X47" s="1">
        <v>88</v>
      </c>
      <c r="Y47" s="1">
        <v>63</v>
      </c>
      <c r="Z47" s="1">
        <v>77</v>
      </c>
      <c r="AA47" s="1">
        <v>79</v>
      </c>
      <c r="AB47" s="1">
        <v>72</v>
      </c>
      <c r="AC47" s="1">
        <v>60</v>
      </c>
      <c r="AD47" s="1">
        <v>70</v>
      </c>
      <c r="AE47" s="1">
        <v>71</v>
      </c>
      <c r="AF47" s="1">
        <v>52</v>
      </c>
      <c r="AG47" s="1">
        <v>76</v>
      </c>
      <c r="AH47" s="1">
        <v>54</v>
      </c>
      <c r="AI47" s="1">
        <v>59</v>
      </c>
      <c r="AJ47" s="1">
        <v>85</v>
      </c>
      <c r="AK47" s="1">
        <v>102</v>
      </c>
      <c r="AL47" s="1">
        <v>70</v>
      </c>
      <c r="AM47" s="1">
        <v>90</v>
      </c>
      <c r="AN47" s="1">
        <v>80</v>
      </c>
      <c r="AO47" s="1">
        <v>90</v>
      </c>
      <c r="AP47" s="1">
        <v>99</v>
      </c>
      <c r="AQ47" s="1">
        <v>104</v>
      </c>
      <c r="AR47" s="1">
        <v>87</v>
      </c>
      <c r="AS47" s="1">
        <v>66</v>
      </c>
      <c r="AT47" s="1">
        <v>75</v>
      </c>
      <c r="AU47" s="1">
        <v>73</v>
      </c>
      <c r="AV47" s="1">
        <v>56</v>
      </c>
      <c r="AW47" s="1">
        <v>71</v>
      </c>
      <c r="AX47" s="1">
        <v>78</v>
      </c>
      <c r="AY47" s="1">
        <v>120</v>
      </c>
      <c r="AZ47" s="1">
        <v>59</v>
      </c>
      <c r="BA47" s="1">
        <v>99</v>
      </c>
      <c r="BB47" s="1">
        <v>100</v>
      </c>
      <c r="BC47" s="1">
        <v>96</v>
      </c>
      <c r="BD47" s="1">
        <v>65</v>
      </c>
      <c r="BE47" s="1">
        <v>92</v>
      </c>
      <c r="BF47" s="1">
        <v>91</v>
      </c>
      <c r="BG47" s="1">
        <v>60</v>
      </c>
      <c r="BH47" s="1">
        <v>69</v>
      </c>
      <c r="BI47" s="1">
        <v>69</v>
      </c>
      <c r="BJ47" s="1">
        <v>62</v>
      </c>
      <c r="BK47" s="1">
        <v>86</v>
      </c>
      <c r="BL47" s="1">
        <v>96</v>
      </c>
      <c r="BM47" s="1">
        <v>91</v>
      </c>
      <c r="BN47" s="1">
        <v>89</v>
      </c>
      <c r="BO47" s="1">
        <v>89</v>
      </c>
      <c r="BP47" s="1">
        <v>86</v>
      </c>
      <c r="BQ47" s="1">
        <v>82</v>
      </c>
      <c r="BR47" s="1">
        <v>109</v>
      </c>
      <c r="BS47" s="1">
        <v>84</v>
      </c>
      <c r="BT47" s="1">
        <v>79</v>
      </c>
      <c r="BU47" s="1">
        <v>75</v>
      </c>
      <c r="BV47" s="1">
        <v>72</v>
      </c>
      <c r="BW47" s="1">
        <v>53</v>
      </c>
      <c r="BX47" s="1">
        <v>65</v>
      </c>
      <c r="BY47" s="1">
        <v>97</v>
      </c>
      <c r="BZ47" s="1">
        <v>67</v>
      </c>
      <c r="CA47" s="1">
        <v>64</v>
      </c>
      <c r="CB47" s="1">
        <v>76</v>
      </c>
      <c r="CC47" s="1">
        <v>90</v>
      </c>
      <c r="CD47" s="1">
        <v>96</v>
      </c>
      <c r="CE47" s="1">
        <v>94</v>
      </c>
      <c r="CF47" s="1">
        <v>85</v>
      </c>
      <c r="CG47" s="1">
        <v>97</v>
      </c>
      <c r="CH47" s="1">
        <v>77</v>
      </c>
      <c r="CI47" s="1">
        <v>84</v>
      </c>
      <c r="CJ47" s="1">
        <v>81</v>
      </c>
      <c r="CK47" s="1">
        <v>62</v>
      </c>
      <c r="CL47" s="1">
        <v>79</v>
      </c>
      <c r="CM47" s="1">
        <v>77</v>
      </c>
      <c r="CN47" s="1">
        <v>89</v>
      </c>
      <c r="CO47" s="1">
        <v>70</v>
      </c>
    </row>
    <row r="48" spans="1:93" ht="15.75" customHeight="1">
      <c r="A48" s="1" t="s">
        <v>100</v>
      </c>
      <c r="B48" s="1">
        <v>68</v>
      </c>
      <c r="C48" s="1">
        <v>62</v>
      </c>
      <c r="D48" s="1">
        <v>52</v>
      </c>
      <c r="E48" s="1">
        <v>47</v>
      </c>
      <c r="F48" s="1">
        <v>62</v>
      </c>
      <c r="G48" s="1">
        <v>64</v>
      </c>
      <c r="H48" s="1">
        <v>87</v>
      </c>
      <c r="I48" s="1">
        <v>107</v>
      </c>
      <c r="J48" s="1">
        <v>83</v>
      </c>
      <c r="K48" s="1">
        <v>89</v>
      </c>
      <c r="L48" s="1">
        <v>94</v>
      </c>
      <c r="M48" s="1">
        <v>98</v>
      </c>
      <c r="N48" s="1">
        <v>89</v>
      </c>
      <c r="O48" s="1">
        <v>129</v>
      </c>
      <c r="P48" s="1">
        <v>106</v>
      </c>
      <c r="Q48" s="1">
        <v>74</v>
      </c>
      <c r="R48" s="1">
        <v>70</v>
      </c>
      <c r="S48" s="1">
        <v>77</v>
      </c>
      <c r="T48" s="1">
        <v>67</v>
      </c>
      <c r="U48" s="1">
        <v>71</v>
      </c>
      <c r="V48" s="1">
        <v>85</v>
      </c>
      <c r="W48" s="1">
        <v>94</v>
      </c>
      <c r="X48" s="1">
        <v>55</v>
      </c>
      <c r="Y48" s="1">
        <v>59</v>
      </c>
      <c r="Z48" s="1">
        <v>50</v>
      </c>
      <c r="AA48" s="1">
        <v>69</v>
      </c>
      <c r="AB48" s="1">
        <v>74</v>
      </c>
      <c r="AC48" s="1">
        <v>64</v>
      </c>
      <c r="AD48" s="1">
        <v>69</v>
      </c>
      <c r="AE48" s="1">
        <v>57</v>
      </c>
      <c r="AF48" s="1">
        <v>59</v>
      </c>
      <c r="AG48" s="1">
        <v>64</v>
      </c>
      <c r="AH48" s="1">
        <v>73</v>
      </c>
      <c r="AI48" s="1">
        <v>77</v>
      </c>
      <c r="AJ48" s="1">
        <v>79</v>
      </c>
      <c r="AK48" s="1">
        <v>93</v>
      </c>
      <c r="AL48" s="1">
        <v>82</v>
      </c>
      <c r="AM48" s="1">
        <v>69</v>
      </c>
      <c r="AN48" s="1">
        <v>70</v>
      </c>
      <c r="AO48" s="1">
        <v>91</v>
      </c>
      <c r="AP48" s="1">
        <v>82</v>
      </c>
      <c r="AQ48" s="1">
        <v>98</v>
      </c>
      <c r="AR48" s="1">
        <v>107</v>
      </c>
      <c r="AS48" s="1">
        <v>55</v>
      </c>
      <c r="AT48" s="1">
        <v>76</v>
      </c>
      <c r="AU48" s="1">
        <v>66</v>
      </c>
      <c r="AV48" s="1">
        <v>70</v>
      </c>
      <c r="AW48" s="1">
        <v>66</v>
      </c>
      <c r="AX48" s="1">
        <v>66</v>
      </c>
      <c r="AY48" s="1">
        <v>68</v>
      </c>
      <c r="AZ48" s="1">
        <v>60</v>
      </c>
      <c r="BA48" s="1">
        <v>68</v>
      </c>
      <c r="BB48" s="1">
        <v>62</v>
      </c>
      <c r="BC48" s="1">
        <v>73</v>
      </c>
      <c r="BD48" s="1">
        <v>80</v>
      </c>
      <c r="BE48" s="1">
        <v>60</v>
      </c>
      <c r="BF48" s="1">
        <v>82</v>
      </c>
      <c r="BG48" s="1">
        <v>56</v>
      </c>
      <c r="BH48" s="1">
        <v>65</v>
      </c>
      <c r="BI48" s="1">
        <v>58</v>
      </c>
      <c r="BJ48" s="1">
        <v>63</v>
      </c>
      <c r="BK48" s="1">
        <v>59</v>
      </c>
      <c r="BL48" s="1">
        <v>74</v>
      </c>
      <c r="BM48" s="1">
        <v>78</v>
      </c>
      <c r="BN48" s="1">
        <v>41</v>
      </c>
      <c r="BO48" s="1">
        <v>48</v>
      </c>
      <c r="BP48" s="1">
        <v>55</v>
      </c>
      <c r="BQ48" s="1">
        <v>66</v>
      </c>
      <c r="BR48" s="1">
        <v>78</v>
      </c>
      <c r="BS48" s="1">
        <v>96</v>
      </c>
      <c r="BT48" s="1">
        <v>103</v>
      </c>
      <c r="BU48" s="1">
        <v>49</v>
      </c>
      <c r="BV48" s="1">
        <v>68</v>
      </c>
      <c r="BW48" s="1">
        <v>72</v>
      </c>
      <c r="BX48" s="1">
        <v>64</v>
      </c>
      <c r="BY48" s="1">
        <v>77</v>
      </c>
      <c r="BZ48" s="1">
        <v>75</v>
      </c>
      <c r="CA48" s="1">
        <v>65</v>
      </c>
      <c r="CB48" s="1">
        <v>64</v>
      </c>
      <c r="CC48" s="1">
        <v>47</v>
      </c>
      <c r="CD48" s="1">
        <v>69</v>
      </c>
      <c r="CE48" s="1">
        <v>65</v>
      </c>
      <c r="CF48" s="1">
        <v>61</v>
      </c>
      <c r="CG48" s="1">
        <v>71</v>
      </c>
      <c r="CH48" s="1">
        <v>71</v>
      </c>
      <c r="CI48" s="1">
        <v>56</v>
      </c>
      <c r="CJ48" s="1">
        <v>53</v>
      </c>
      <c r="CK48" s="1">
        <v>66</v>
      </c>
      <c r="CL48" s="1">
        <v>69</v>
      </c>
      <c r="CM48" s="1">
        <v>63</v>
      </c>
      <c r="CN48" s="1">
        <v>72</v>
      </c>
      <c r="CO48" s="1">
        <v>57</v>
      </c>
    </row>
    <row r="49" spans="1:93" ht="15.75" customHeight="1">
      <c r="A49" s="1" t="s">
        <v>101</v>
      </c>
      <c r="B49" s="1">
        <v>20</v>
      </c>
      <c r="C49" s="1">
        <v>23</v>
      </c>
      <c r="D49" s="1">
        <v>12</v>
      </c>
      <c r="E49" s="1">
        <v>14</v>
      </c>
      <c r="F49" s="1">
        <v>30</v>
      </c>
      <c r="G49" s="1">
        <v>29</v>
      </c>
      <c r="H49" s="1">
        <v>32</v>
      </c>
      <c r="I49" s="1">
        <v>46</v>
      </c>
      <c r="J49" s="1">
        <v>31</v>
      </c>
      <c r="K49" s="1">
        <v>27</v>
      </c>
      <c r="L49" s="1">
        <v>34</v>
      </c>
      <c r="M49" s="1">
        <v>32</v>
      </c>
      <c r="N49" s="1">
        <v>26</v>
      </c>
      <c r="O49" s="1">
        <v>32</v>
      </c>
      <c r="P49" s="1">
        <v>44</v>
      </c>
      <c r="Q49" s="1">
        <v>26</v>
      </c>
      <c r="R49" s="1">
        <v>40</v>
      </c>
      <c r="S49" s="1">
        <v>32</v>
      </c>
      <c r="T49" s="1">
        <v>27</v>
      </c>
      <c r="U49" s="1">
        <v>35</v>
      </c>
      <c r="V49" s="1">
        <v>30</v>
      </c>
      <c r="W49" s="1">
        <v>49</v>
      </c>
      <c r="X49" s="1">
        <v>29</v>
      </c>
      <c r="Y49" s="1">
        <v>29</v>
      </c>
      <c r="Z49" s="1">
        <v>35</v>
      </c>
      <c r="AA49" s="1">
        <v>20</v>
      </c>
      <c r="AB49" s="1">
        <v>26</v>
      </c>
      <c r="AC49" s="1">
        <v>31</v>
      </c>
      <c r="AD49" s="1">
        <v>31</v>
      </c>
      <c r="AE49" s="1">
        <v>40</v>
      </c>
      <c r="AF49" s="1">
        <v>34</v>
      </c>
      <c r="AG49" s="1">
        <v>35</v>
      </c>
      <c r="AH49" s="1">
        <v>29</v>
      </c>
      <c r="AI49" s="1">
        <v>25</v>
      </c>
      <c r="AJ49" s="1">
        <v>37</v>
      </c>
      <c r="AK49" s="1">
        <v>61</v>
      </c>
      <c r="AL49" s="1">
        <v>37</v>
      </c>
      <c r="AM49" s="1">
        <v>37</v>
      </c>
      <c r="AN49" s="1">
        <v>41</v>
      </c>
      <c r="AO49" s="1">
        <v>42</v>
      </c>
      <c r="AP49" s="1">
        <v>33</v>
      </c>
      <c r="AQ49" s="1">
        <v>44</v>
      </c>
      <c r="AR49" s="1">
        <v>43</v>
      </c>
      <c r="AS49" s="1">
        <v>31</v>
      </c>
      <c r="AT49" s="1">
        <v>41</v>
      </c>
      <c r="AU49" s="1">
        <v>28</v>
      </c>
      <c r="AV49" s="1">
        <v>33</v>
      </c>
      <c r="AW49" s="1">
        <v>31</v>
      </c>
      <c r="AX49" s="1">
        <v>41</v>
      </c>
      <c r="AY49" s="1">
        <v>62</v>
      </c>
      <c r="AZ49" s="1">
        <v>47</v>
      </c>
      <c r="BA49" s="1">
        <v>45</v>
      </c>
      <c r="BB49" s="1">
        <v>48</v>
      </c>
      <c r="BC49" s="1">
        <v>51</v>
      </c>
      <c r="BD49" s="1">
        <v>45</v>
      </c>
      <c r="BE49" s="1">
        <v>48</v>
      </c>
      <c r="BF49" s="1">
        <v>41</v>
      </c>
      <c r="BG49" s="1">
        <v>39</v>
      </c>
      <c r="BH49" s="1">
        <v>27</v>
      </c>
      <c r="BI49" s="1">
        <v>34</v>
      </c>
      <c r="BJ49" s="1">
        <v>40</v>
      </c>
      <c r="BK49" s="1">
        <v>40</v>
      </c>
      <c r="BL49" s="1">
        <v>41</v>
      </c>
      <c r="BM49" s="1">
        <v>37</v>
      </c>
      <c r="BN49" s="1">
        <v>35</v>
      </c>
      <c r="BO49" s="1">
        <v>50</v>
      </c>
      <c r="BP49" s="1">
        <v>32</v>
      </c>
      <c r="BQ49" s="1">
        <v>34</v>
      </c>
      <c r="BR49" s="1">
        <v>33</v>
      </c>
      <c r="BS49" s="1">
        <v>31</v>
      </c>
      <c r="BT49" s="1">
        <v>33</v>
      </c>
      <c r="BU49" s="1">
        <v>30</v>
      </c>
      <c r="BV49" s="1">
        <v>41</v>
      </c>
      <c r="BW49" s="1">
        <v>53</v>
      </c>
      <c r="BX49" s="1">
        <v>64</v>
      </c>
      <c r="BY49" s="1">
        <v>36</v>
      </c>
      <c r="BZ49" s="1">
        <v>24</v>
      </c>
      <c r="CA49" s="1">
        <v>34</v>
      </c>
      <c r="CB49" s="1">
        <v>36</v>
      </c>
      <c r="CC49" s="1">
        <v>33</v>
      </c>
      <c r="CD49" s="1">
        <v>42</v>
      </c>
      <c r="CE49" s="1">
        <v>46</v>
      </c>
      <c r="CF49" s="1">
        <v>24</v>
      </c>
      <c r="CG49" s="1">
        <v>46</v>
      </c>
      <c r="CH49" s="1">
        <v>47</v>
      </c>
      <c r="CI49" s="1">
        <v>31</v>
      </c>
      <c r="CJ49" s="1">
        <v>37</v>
      </c>
      <c r="CK49" s="1">
        <v>40</v>
      </c>
      <c r="CL49" s="1">
        <v>21</v>
      </c>
      <c r="CM49" s="1">
        <v>22</v>
      </c>
      <c r="CN49" s="1">
        <v>44</v>
      </c>
      <c r="CO49" s="1">
        <v>37</v>
      </c>
    </row>
    <row r="50" spans="1:93" ht="15.75" customHeight="1">
      <c r="A50" s="1" t="s">
        <v>102</v>
      </c>
      <c r="B50" s="1">
        <v>205</v>
      </c>
      <c r="C50" s="1">
        <v>130</v>
      </c>
      <c r="D50" s="1">
        <v>146</v>
      </c>
      <c r="E50" s="1">
        <v>145</v>
      </c>
      <c r="F50" s="1">
        <v>142</v>
      </c>
      <c r="G50" s="1">
        <v>162</v>
      </c>
      <c r="H50" s="1">
        <v>215</v>
      </c>
      <c r="I50" s="1">
        <v>187</v>
      </c>
      <c r="J50" s="1">
        <v>150</v>
      </c>
      <c r="K50" s="1">
        <v>142</v>
      </c>
      <c r="L50" s="1">
        <v>160</v>
      </c>
      <c r="M50" s="1">
        <v>175</v>
      </c>
      <c r="N50" s="1">
        <v>182</v>
      </c>
      <c r="O50" s="1">
        <v>204</v>
      </c>
      <c r="P50" s="1">
        <v>178</v>
      </c>
      <c r="Q50" s="1">
        <v>165</v>
      </c>
      <c r="R50" s="1">
        <v>187</v>
      </c>
      <c r="S50" s="1">
        <v>130</v>
      </c>
      <c r="T50" s="1">
        <v>159</v>
      </c>
      <c r="U50" s="1">
        <v>133</v>
      </c>
      <c r="V50" s="1">
        <v>159</v>
      </c>
      <c r="W50" s="1">
        <v>158</v>
      </c>
      <c r="X50" s="1">
        <v>122</v>
      </c>
      <c r="Y50" s="1">
        <v>132</v>
      </c>
      <c r="Z50" s="1">
        <v>164</v>
      </c>
      <c r="AA50" s="1">
        <v>112</v>
      </c>
      <c r="AB50" s="1">
        <v>151</v>
      </c>
      <c r="AC50" s="1">
        <v>145</v>
      </c>
      <c r="AD50" s="1">
        <v>166</v>
      </c>
      <c r="AE50" s="1">
        <v>159</v>
      </c>
      <c r="AF50" s="1">
        <v>183</v>
      </c>
      <c r="AG50" s="1">
        <v>180</v>
      </c>
      <c r="AH50" s="1">
        <v>153</v>
      </c>
      <c r="AI50" s="1">
        <v>140</v>
      </c>
      <c r="AJ50" s="1">
        <v>172</v>
      </c>
      <c r="AK50" s="1">
        <v>220</v>
      </c>
      <c r="AL50" s="1">
        <v>169</v>
      </c>
      <c r="AM50" s="1">
        <v>151</v>
      </c>
      <c r="AN50" s="1">
        <v>146</v>
      </c>
      <c r="AO50" s="1">
        <v>153</v>
      </c>
      <c r="AP50" s="1">
        <v>136</v>
      </c>
      <c r="AQ50" s="1">
        <v>165</v>
      </c>
      <c r="AR50" s="1">
        <v>210</v>
      </c>
      <c r="AS50" s="1">
        <v>167</v>
      </c>
      <c r="AT50" s="1">
        <v>137</v>
      </c>
      <c r="AU50" s="1">
        <v>130</v>
      </c>
      <c r="AV50" s="1">
        <v>133</v>
      </c>
      <c r="AW50" s="1">
        <v>124</v>
      </c>
      <c r="AX50" s="1">
        <v>154</v>
      </c>
      <c r="AY50" s="1">
        <v>200</v>
      </c>
      <c r="AZ50" s="1">
        <v>160</v>
      </c>
      <c r="BA50" s="1">
        <v>135</v>
      </c>
      <c r="BB50" s="1">
        <v>192</v>
      </c>
      <c r="BC50" s="1">
        <v>171</v>
      </c>
      <c r="BD50" s="1">
        <v>158</v>
      </c>
      <c r="BE50" s="1">
        <v>184</v>
      </c>
      <c r="BF50" s="1">
        <v>206</v>
      </c>
      <c r="BG50" s="1">
        <v>162</v>
      </c>
      <c r="BH50" s="1">
        <v>157</v>
      </c>
      <c r="BI50" s="1">
        <v>184</v>
      </c>
      <c r="BJ50" s="1">
        <v>187</v>
      </c>
      <c r="BK50" s="1">
        <v>167</v>
      </c>
      <c r="BL50" s="1">
        <v>203</v>
      </c>
      <c r="BM50" s="1">
        <v>208</v>
      </c>
      <c r="BN50" s="1">
        <v>162</v>
      </c>
      <c r="BO50" s="1">
        <v>156</v>
      </c>
      <c r="BP50" s="1">
        <v>152</v>
      </c>
      <c r="BQ50" s="1">
        <v>112</v>
      </c>
      <c r="BR50" s="1">
        <v>115</v>
      </c>
      <c r="BS50" s="1">
        <v>124</v>
      </c>
      <c r="BT50" s="1">
        <v>140</v>
      </c>
      <c r="BU50" s="1">
        <v>107</v>
      </c>
      <c r="BV50" s="1">
        <v>128</v>
      </c>
      <c r="BW50" s="1">
        <v>138</v>
      </c>
      <c r="BX50" s="1">
        <v>190</v>
      </c>
      <c r="BY50" s="1">
        <v>160</v>
      </c>
      <c r="BZ50" s="1">
        <v>154</v>
      </c>
      <c r="CA50" s="1">
        <v>142</v>
      </c>
      <c r="CB50" s="1">
        <v>161</v>
      </c>
      <c r="CC50" s="1">
        <v>217</v>
      </c>
      <c r="CD50" s="1">
        <v>190</v>
      </c>
      <c r="CE50" s="1">
        <v>222</v>
      </c>
      <c r="CF50" s="1">
        <v>213</v>
      </c>
      <c r="CG50" s="1">
        <v>215</v>
      </c>
      <c r="CH50" s="1">
        <v>237</v>
      </c>
      <c r="CI50" s="1">
        <v>189</v>
      </c>
      <c r="CJ50" s="1">
        <v>172</v>
      </c>
      <c r="CK50" s="1">
        <v>203</v>
      </c>
      <c r="CL50" s="1">
        <v>167</v>
      </c>
      <c r="CM50" s="1">
        <v>185</v>
      </c>
      <c r="CN50" s="1">
        <v>164</v>
      </c>
      <c r="CO50" s="1">
        <v>177</v>
      </c>
    </row>
    <row r="51" spans="1:93" ht="15.75" customHeight="1">
      <c r="A51" s="1" t="s">
        <v>103</v>
      </c>
      <c r="B51" s="1">
        <v>27</v>
      </c>
      <c r="C51" s="1">
        <v>12</v>
      </c>
      <c r="D51" s="1">
        <v>26</v>
      </c>
      <c r="E51" s="1">
        <v>25</v>
      </c>
      <c r="F51" s="1">
        <v>22</v>
      </c>
      <c r="G51" s="1">
        <v>30</v>
      </c>
      <c r="H51" s="1">
        <v>27</v>
      </c>
      <c r="I51" s="1">
        <v>26</v>
      </c>
      <c r="J51" s="1">
        <v>40</v>
      </c>
      <c r="K51" s="1">
        <v>27</v>
      </c>
      <c r="L51" s="1">
        <v>32</v>
      </c>
      <c r="M51" s="1">
        <v>28</v>
      </c>
      <c r="N51" s="1">
        <v>25</v>
      </c>
      <c r="O51" s="1">
        <v>35</v>
      </c>
      <c r="P51" s="1">
        <v>26</v>
      </c>
      <c r="Q51" s="1">
        <v>25</v>
      </c>
      <c r="R51" s="1">
        <v>15</v>
      </c>
      <c r="S51" s="1">
        <v>17</v>
      </c>
      <c r="T51" s="1">
        <v>17</v>
      </c>
      <c r="U51" s="1">
        <v>16</v>
      </c>
      <c r="V51" s="1">
        <v>22</v>
      </c>
      <c r="W51" s="1">
        <v>26</v>
      </c>
      <c r="X51" s="1">
        <v>24</v>
      </c>
      <c r="Y51" s="1">
        <v>24</v>
      </c>
      <c r="Z51" s="1">
        <v>20</v>
      </c>
      <c r="AA51" s="1">
        <v>12</v>
      </c>
      <c r="AB51" s="1">
        <v>16</v>
      </c>
      <c r="AC51" s="1">
        <v>19</v>
      </c>
      <c r="AD51" s="1">
        <v>26</v>
      </c>
      <c r="AE51" s="1">
        <v>20</v>
      </c>
      <c r="AF51" s="1">
        <v>16</v>
      </c>
      <c r="AG51" s="1">
        <v>15</v>
      </c>
      <c r="AH51" s="1">
        <v>15</v>
      </c>
      <c r="AI51" s="1">
        <v>12</v>
      </c>
      <c r="AJ51" s="1">
        <v>24</v>
      </c>
      <c r="AK51" s="1">
        <v>30</v>
      </c>
      <c r="AL51" s="1">
        <v>31</v>
      </c>
      <c r="AM51" s="1">
        <v>19</v>
      </c>
      <c r="AN51" s="1">
        <v>15</v>
      </c>
      <c r="AO51" s="1">
        <v>25</v>
      </c>
      <c r="AP51" s="1">
        <v>13</v>
      </c>
      <c r="AQ51" s="1">
        <v>27</v>
      </c>
      <c r="AR51" s="1">
        <v>28</v>
      </c>
      <c r="AS51" s="1">
        <v>18</v>
      </c>
      <c r="AT51" s="1">
        <v>29</v>
      </c>
      <c r="AU51" s="1">
        <v>17</v>
      </c>
      <c r="AV51" s="1">
        <v>26</v>
      </c>
      <c r="AW51" s="1">
        <v>19</v>
      </c>
      <c r="AX51" s="1">
        <v>28</v>
      </c>
      <c r="AY51" s="1">
        <v>26</v>
      </c>
      <c r="AZ51" s="1">
        <v>27</v>
      </c>
      <c r="BA51" s="1">
        <v>26</v>
      </c>
      <c r="BB51" s="1">
        <v>23</v>
      </c>
      <c r="BC51" s="1">
        <v>26</v>
      </c>
      <c r="BD51" s="1">
        <v>24</v>
      </c>
      <c r="BE51" s="1">
        <v>25</v>
      </c>
      <c r="BF51" s="1">
        <v>28</v>
      </c>
      <c r="BG51" s="1">
        <v>22</v>
      </c>
      <c r="BH51" s="1">
        <v>18</v>
      </c>
      <c r="BI51" s="1">
        <v>30</v>
      </c>
      <c r="BJ51" s="1">
        <v>31</v>
      </c>
      <c r="BK51" s="1">
        <v>23</v>
      </c>
      <c r="BL51" s="1">
        <v>26</v>
      </c>
      <c r="BM51" s="1">
        <v>30</v>
      </c>
      <c r="BN51" s="1">
        <v>27</v>
      </c>
      <c r="BO51" s="1">
        <v>25</v>
      </c>
      <c r="BP51" s="1">
        <v>25</v>
      </c>
      <c r="BQ51" s="1">
        <v>25</v>
      </c>
      <c r="BR51" s="1">
        <v>21</v>
      </c>
      <c r="BS51" s="1">
        <v>33</v>
      </c>
      <c r="BT51" s="1">
        <v>35</v>
      </c>
      <c r="BU51" s="1">
        <v>24</v>
      </c>
      <c r="BV51" s="1">
        <v>29</v>
      </c>
      <c r="BW51" s="1">
        <v>55</v>
      </c>
      <c r="BX51" s="1">
        <v>40</v>
      </c>
      <c r="BY51" s="1">
        <v>27</v>
      </c>
      <c r="BZ51" s="1">
        <v>21</v>
      </c>
      <c r="CA51" s="1">
        <v>19</v>
      </c>
      <c r="CB51" s="1">
        <v>28</v>
      </c>
      <c r="CC51" s="1">
        <v>38</v>
      </c>
      <c r="CD51" s="1">
        <v>33</v>
      </c>
      <c r="CE51" s="1">
        <v>30</v>
      </c>
      <c r="CF51" s="1">
        <v>27</v>
      </c>
      <c r="CG51" s="1">
        <v>22</v>
      </c>
      <c r="CH51" s="1">
        <v>20</v>
      </c>
      <c r="CI51" s="1">
        <v>19</v>
      </c>
      <c r="CJ51" s="1">
        <v>23</v>
      </c>
      <c r="CK51" s="1">
        <v>19</v>
      </c>
      <c r="CL51" s="1">
        <v>23</v>
      </c>
      <c r="CM51" s="1">
        <v>18</v>
      </c>
      <c r="CN51" s="1">
        <v>16</v>
      </c>
      <c r="CO51" s="1">
        <v>23</v>
      </c>
    </row>
    <row r="52" spans="1:93" ht="15.75" customHeight="1">
      <c r="A52" s="1" t="s">
        <v>104</v>
      </c>
      <c r="B52" s="1">
        <v>150</v>
      </c>
      <c r="C52" s="1">
        <v>95</v>
      </c>
      <c r="D52" s="1">
        <v>105</v>
      </c>
      <c r="E52" s="1">
        <v>96</v>
      </c>
      <c r="F52" s="1">
        <v>123</v>
      </c>
      <c r="G52" s="1">
        <v>128</v>
      </c>
      <c r="H52" s="1">
        <v>138</v>
      </c>
      <c r="I52" s="1">
        <v>135</v>
      </c>
      <c r="J52" s="1">
        <v>102</v>
      </c>
      <c r="K52" s="1">
        <v>122</v>
      </c>
      <c r="L52" s="1">
        <v>141</v>
      </c>
      <c r="M52" s="1">
        <v>115</v>
      </c>
      <c r="N52" s="1">
        <v>150</v>
      </c>
      <c r="O52" s="1">
        <v>174</v>
      </c>
      <c r="P52" s="1">
        <v>143</v>
      </c>
      <c r="Q52" s="1">
        <v>124</v>
      </c>
      <c r="R52" s="1">
        <v>116</v>
      </c>
      <c r="S52" s="1">
        <v>81</v>
      </c>
      <c r="T52" s="1">
        <v>93</v>
      </c>
      <c r="U52" s="1">
        <v>120</v>
      </c>
      <c r="V52" s="1">
        <v>114</v>
      </c>
      <c r="W52" s="1">
        <v>125</v>
      </c>
      <c r="X52" s="1">
        <v>98</v>
      </c>
      <c r="Y52" s="1">
        <v>94</v>
      </c>
      <c r="Z52" s="1">
        <v>83</v>
      </c>
      <c r="AA52" s="1">
        <v>94</v>
      </c>
      <c r="AB52" s="1">
        <v>105</v>
      </c>
      <c r="AC52" s="1">
        <v>102</v>
      </c>
      <c r="AD52" s="1">
        <v>139</v>
      </c>
      <c r="AE52" s="1">
        <v>115</v>
      </c>
      <c r="AF52" s="1">
        <v>135</v>
      </c>
      <c r="AG52" s="1">
        <v>131</v>
      </c>
      <c r="AH52" s="1">
        <v>99</v>
      </c>
      <c r="AI52" s="1">
        <v>116</v>
      </c>
      <c r="AJ52" s="1">
        <v>122</v>
      </c>
      <c r="AK52" s="1">
        <v>159</v>
      </c>
      <c r="AL52" s="1">
        <v>117</v>
      </c>
      <c r="AM52" s="1">
        <v>110</v>
      </c>
      <c r="AN52" s="1">
        <v>100</v>
      </c>
      <c r="AO52" s="1">
        <v>111</v>
      </c>
      <c r="AP52" s="1">
        <v>122</v>
      </c>
      <c r="AQ52" s="1">
        <v>146</v>
      </c>
      <c r="AR52" s="1">
        <v>172</v>
      </c>
      <c r="AS52" s="1">
        <v>114</v>
      </c>
      <c r="AT52" s="1">
        <v>101</v>
      </c>
      <c r="AU52" s="1">
        <v>79</v>
      </c>
      <c r="AV52" s="1">
        <v>100</v>
      </c>
      <c r="AW52" s="1">
        <v>83</v>
      </c>
      <c r="AX52" s="1">
        <v>108</v>
      </c>
      <c r="AY52" s="1">
        <v>138</v>
      </c>
      <c r="AZ52" s="1">
        <v>91</v>
      </c>
      <c r="BA52" s="1">
        <v>117</v>
      </c>
      <c r="BB52" s="1">
        <v>114</v>
      </c>
      <c r="BC52" s="1">
        <v>124</v>
      </c>
      <c r="BD52" s="1">
        <v>118</v>
      </c>
      <c r="BE52" s="1">
        <v>122</v>
      </c>
      <c r="BF52" s="1">
        <v>128</v>
      </c>
      <c r="BG52" s="1">
        <v>106</v>
      </c>
      <c r="BH52" s="1">
        <v>110</v>
      </c>
      <c r="BI52" s="1">
        <v>122</v>
      </c>
      <c r="BJ52" s="1">
        <v>164</v>
      </c>
      <c r="BK52" s="1">
        <v>95</v>
      </c>
      <c r="BL52" s="1">
        <v>147</v>
      </c>
      <c r="BM52" s="1">
        <v>146</v>
      </c>
      <c r="BN52" s="1">
        <v>119</v>
      </c>
      <c r="BO52" s="1">
        <v>114</v>
      </c>
      <c r="BP52" s="1">
        <v>128</v>
      </c>
      <c r="BQ52" s="1">
        <v>124</v>
      </c>
      <c r="BR52" s="1">
        <v>125</v>
      </c>
      <c r="BS52" s="1">
        <v>112</v>
      </c>
      <c r="BT52" s="1">
        <v>133</v>
      </c>
      <c r="BU52" s="1">
        <v>112</v>
      </c>
      <c r="BV52" s="1">
        <v>115</v>
      </c>
      <c r="BW52" s="1">
        <v>108</v>
      </c>
      <c r="BX52" s="1">
        <v>110</v>
      </c>
      <c r="BY52" s="1">
        <v>116</v>
      </c>
      <c r="BZ52" s="1">
        <v>98</v>
      </c>
      <c r="CA52" s="1">
        <v>94</v>
      </c>
      <c r="CB52" s="1">
        <v>102</v>
      </c>
      <c r="CC52" s="1">
        <v>129</v>
      </c>
      <c r="CD52" s="1">
        <v>119</v>
      </c>
      <c r="CE52" s="1">
        <v>129</v>
      </c>
      <c r="CF52" s="1">
        <v>136</v>
      </c>
      <c r="CG52" s="1">
        <v>136</v>
      </c>
      <c r="CH52" s="1">
        <v>146</v>
      </c>
      <c r="CI52" s="1">
        <v>111</v>
      </c>
      <c r="CJ52" s="1">
        <v>130</v>
      </c>
      <c r="CK52" s="1">
        <v>132</v>
      </c>
      <c r="CL52" s="1">
        <v>106</v>
      </c>
      <c r="CM52" s="1">
        <v>106</v>
      </c>
      <c r="CN52" s="1">
        <v>117</v>
      </c>
      <c r="CO52" s="1">
        <v>127</v>
      </c>
    </row>
    <row r="53" spans="1:93" ht="15.75" customHeight="1">
      <c r="A53" s="1" t="s">
        <v>105</v>
      </c>
      <c r="B53" s="1">
        <v>35</v>
      </c>
      <c r="C53" s="1">
        <v>19</v>
      </c>
      <c r="D53" s="1">
        <v>27</v>
      </c>
      <c r="E53" s="1">
        <v>26</v>
      </c>
      <c r="F53" s="1">
        <v>22</v>
      </c>
      <c r="G53" s="1">
        <v>32</v>
      </c>
      <c r="H53" s="1">
        <v>23</v>
      </c>
      <c r="I53" s="1">
        <v>30</v>
      </c>
      <c r="J53" s="1">
        <v>28</v>
      </c>
      <c r="K53" s="1">
        <v>35</v>
      </c>
      <c r="L53" s="1">
        <v>37</v>
      </c>
      <c r="M53" s="1">
        <v>27</v>
      </c>
      <c r="N53" s="1">
        <v>23</v>
      </c>
      <c r="O53" s="1">
        <v>39</v>
      </c>
      <c r="P53" s="1">
        <v>27</v>
      </c>
      <c r="Q53" s="1">
        <v>35</v>
      </c>
      <c r="R53" s="1">
        <v>45</v>
      </c>
      <c r="S53" s="1">
        <v>39</v>
      </c>
      <c r="T53" s="1">
        <v>38</v>
      </c>
      <c r="U53" s="1">
        <v>28</v>
      </c>
      <c r="V53" s="1">
        <v>23</v>
      </c>
      <c r="W53" s="1">
        <v>29</v>
      </c>
      <c r="X53" s="1">
        <v>34</v>
      </c>
      <c r="Y53" s="1">
        <v>35</v>
      </c>
      <c r="Z53" s="1">
        <v>33</v>
      </c>
      <c r="AA53" s="1">
        <v>27</v>
      </c>
      <c r="AB53" s="1">
        <v>20</v>
      </c>
      <c r="AC53" s="1">
        <v>22</v>
      </c>
      <c r="AD53" s="1">
        <v>42</v>
      </c>
      <c r="AE53" s="1">
        <v>26</v>
      </c>
      <c r="AF53" s="1">
        <v>33</v>
      </c>
      <c r="AG53" s="1">
        <v>36</v>
      </c>
      <c r="AH53" s="1">
        <v>42</v>
      </c>
      <c r="AI53" s="1">
        <v>24</v>
      </c>
      <c r="AJ53" s="1">
        <v>34</v>
      </c>
      <c r="AK53" s="1">
        <v>42</v>
      </c>
      <c r="AL53" s="1">
        <v>40</v>
      </c>
      <c r="AM53" s="1">
        <v>43</v>
      </c>
      <c r="AN53" s="1">
        <v>34</v>
      </c>
      <c r="AO53" s="1">
        <v>45</v>
      </c>
      <c r="AP53" s="1">
        <v>25</v>
      </c>
      <c r="AQ53" s="1">
        <v>43</v>
      </c>
      <c r="AR53" s="1">
        <v>55</v>
      </c>
      <c r="AS53" s="1">
        <v>46</v>
      </c>
      <c r="AT53" s="1">
        <v>51</v>
      </c>
      <c r="AU53" s="1">
        <v>49</v>
      </c>
      <c r="AV53" s="1">
        <v>63</v>
      </c>
      <c r="AW53" s="1">
        <v>43</v>
      </c>
      <c r="AX53" s="1">
        <v>41</v>
      </c>
      <c r="AY53" s="1">
        <v>52</v>
      </c>
      <c r="AZ53" s="1">
        <v>42</v>
      </c>
      <c r="BA53" s="1">
        <v>47</v>
      </c>
      <c r="BB53" s="1">
        <v>42</v>
      </c>
      <c r="BC53" s="1">
        <v>45</v>
      </c>
      <c r="BD53" s="1">
        <v>46</v>
      </c>
      <c r="BE53" s="1">
        <v>51</v>
      </c>
      <c r="BF53" s="1">
        <v>44</v>
      </c>
      <c r="BG53" s="1">
        <v>49</v>
      </c>
      <c r="BH53" s="1">
        <v>53</v>
      </c>
      <c r="BI53" s="1">
        <v>50</v>
      </c>
      <c r="BJ53" s="1">
        <v>48</v>
      </c>
      <c r="BK53" s="1">
        <v>36</v>
      </c>
      <c r="BL53" s="1">
        <v>61</v>
      </c>
      <c r="BM53" s="1">
        <v>47</v>
      </c>
      <c r="BN53" s="1">
        <v>34</v>
      </c>
      <c r="BO53" s="1">
        <v>48</v>
      </c>
      <c r="BP53" s="1">
        <v>36</v>
      </c>
      <c r="BQ53" s="1">
        <v>54</v>
      </c>
      <c r="BR53" s="1">
        <v>32</v>
      </c>
      <c r="BS53" s="1">
        <v>39</v>
      </c>
      <c r="BT53" s="1">
        <v>49</v>
      </c>
      <c r="BU53" s="1">
        <v>47</v>
      </c>
      <c r="BV53" s="1">
        <v>48</v>
      </c>
      <c r="BW53" s="1">
        <v>63</v>
      </c>
      <c r="BX53" s="1">
        <v>47</v>
      </c>
      <c r="BY53" s="1">
        <v>46</v>
      </c>
      <c r="BZ53" s="1">
        <v>41</v>
      </c>
      <c r="CA53" s="1">
        <v>40</v>
      </c>
      <c r="CB53" s="1">
        <v>63</v>
      </c>
      <c r="CC53" s="1">
        <v>62</v>
      </c>
      <c r="CD53" s="1">
        <v>56</v>
      </c>
      <c r="CE53" s="1">
        <v>60</v>
      </c>
      <c r="CF53" s="1">
        <v>47</v>
      </c>
      <c r="CG53" s="1">
        <v>50</v>
      </c>
      <c r="CH53" s="1">
        <v>60</v>
      </c>
      <c r="CI53" s="1">
        <v>50</v>
      </c>
      <c r="CJ53" s="1">
        <v>49</v>
      </c>
      <c r="CK53" s="1">
        <v>44</v>
      </c>
      <c r="CL53" s="1">
        <v>54</v>
      </c>
      <c r="CM53" s="1">
        <v>51</v>
      </c>
      <c r="CN53" s="1">
        <v>57</v>
      </c>
      <c r="CO53" s="1">
        <v>50</v>
      </c>
    </row>
    <row r="54" spans="1:93" ht="15.75" customHeight="1">
      <c r="A54" s="1" t="s">
        <v>106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</row>
    <row r="55" spans="1:93" ht="15.75" customHeight="1">
      <c r="A55" s="1" t="s">
        <v>107</v>
      </c>
      <c r="B55" s="1">
        <v>23</v>
      </c>
      <c r="C55" s="1">
        <v>25</v>
      </c>
      <c r="D55" s="1">
        <v>18</v>
      </c>
      <c r="E55" s="1">
        <v>24</v>
      </c>
      <c r="F55" s="1">
        <v>24</v>
      </c>
      <c r="G55" s="1">
        <v>12</v>
      </c>
      <c r="H55" s="1">
        <v>25</v>
      </c>
      <c r="I55" s="1">
        <v>22</v>
      </c>
      <c r="J55" s="1">
        <v>10</v>
      </c>
      <c r="K55" s="1">
        <v>16</v>
      </c>
      <c r="L55" s="1">
        <v>25</v>
      </c>
      <c r="M55" s="1">
        <v>19</v>
      </c>
      <c r="N55" s="1">
        <v>29</v>
      </c>
      <c r="O55" s="1">
        <v>25</v>
      </c>
      <c r="P55" s="1">
        <v>35</v>
      </c>
      <c r="Q55" s="1">
        <v>23</v>
      </c>
      <c r="R55" s="1">
        <v>33</v>
      </c>
      <c r="S55" s="1">
        <v>28</v>
      </c>
      <c r="T55" s="1">
        <v>28</v>
      </c>
      <c r="U55" s="1">
        <v>21</v>
      </c>
      <c r="V55" s="1">
        <v>30</v>
      </c>
      <c r="W55" s="1">
        <v>35</v>
      </c>
      <c r="X55" s="1">
        <v>16</v>
      </c>
      <c r="Y55" s="1">
        <v>23</v>
      </c>
      <c r="Z55" s="1">
        <v>17</v>
      </c>
      <c r="AA55" s="1">
        <v>17</v>
      </c>
      <c r="AB55" s="1">
        <v>18</v>
      </c>
      <c r="AC55" s="1">
        <v>21</v>
      </c>
      <c r="AD55" s="1">
        <v>20</v>
      </c>
      <c r="AE55" s="1">
        <v>29</v>
      </c>
      <c r="AF55" s="1">
        <v>43</v>
      </c>
      <c r="AG55" s="1">
        <v>41</v>
      </c>
      <c r="AH55" s="1">
        <v>30</v>
      </c>
      <c r="AI55" s="1">
        <v>36</v>
      </c>
      <c r="AJ55" s="1">
        <v>37</v>
      </c>
      <c r="AK55" s="1">
        <v>52</v>
      </c>
      <c r="AL55" s="1">
        <v>42</v>
      </c>
      <c r="AM55" s="1">
        <v>37</v>
      </c>
      <c r="AN55" s="1">
        <v>35</v>
      </c>
      <c r="AO55" s="1">
        <v>25</v>
      </c>
      <c r="AP55" s="1">
        <v>37</v>
      </c>
      <c r="AQ55" s="1">
        <v>35</v>
      </c>
      <c r="AR55" s="1">
        <v>35</v>
      </c>
      <c r="AS55" s="1">
        <v>24</v>
      </c>
      <c r="AT55" s="1">
        <v>25</v>
      </c>
      <c r="AU55" s="1">
        <v>22</v>
      </c>
      <c r="AV55" s="1">
        <v>33</v>
      </c>
      <c r="AW55" s="1">
        <v>35</v>
      </c>
      <c r="AX55" s="1">
        <v>40</v>
      </c>
      <c r="AY55" s="1">
        <v>41</v>
      </c>
      <c r="AZ55" s="1">
        <v>22</v>
      </c>
      <c r="BA55" s="1">
        <v>35</v>
      </c>
      <c r="BB55" s="1">
        <v>46</v>
      </c>
      <c r="BC55" s="1">
        <v>53</v>
      </c>
      <c r="BD55" s="1">
        <v>35</v>
      </c>
      <c r="BE55" s="1">
        <v>43</v>
      </c>
      <c r="BF55" s="1">
        <v>38</v>
      </c>
      <c r="BG55" s="1">
        <v>41</v>
      </c>
      <c r="BH55" s="1">
        <v>35</v>
      </c>
      <c r="BI55" s="1">
        <v>30</v>
      </c>
      <c r="BJ55" s="1">
        <v>50</v>
      </c>
      <c r="BK55" s="1">
        <v>26</v>
      </c>
      <c r="BL55" s="1">
        <v>24</v>
      </c>
      <c r="BM55" s="1">
        <v>30</v>
      </c>
      <c r="BN55" s="1">
        <v>20</v>
      </c>
      <c r="BO55" s="1">
        <v>19</v>
      </c>
      <c r="BP55" s="1">
        <v>26</v>
      </c>
      <c r="BQ55" s="1">
        <v>18</v>
      </c>
      <c r="BR55" s="1">
        <v>28</v>
      </c>
      <c r="BS55" s="1">
        <v>26</v>
      </c>
      <c r="BT55" s="1">
        <v>14</v>
      </c>
      <c r="BU55" s="1">
        <v>17</v>
      </c>
      <c r="BV55" s="1">
        <v>13</v>
      </c>
      <c r="BW55" s="1">
        <v>23</v>
      </c>
      <c r="BX55" s="1">
        <v>10</v>
      </c>
      <c r="BY55" s="1">
        <v>28</v>
      </c>
      <c r="BZ55" s="1">
        <v>13</v>
      </c>
      <c r="CA55" s="1">
        <v>21</v>
      </c>
      <c r="CB55" s="1">
        <v>23</v>
      </c>
      <c r="CC55" s="1">
        <v>31</v>
      </c>
      <c r="CD55" s="1">
        <v>21</v>
      </c>
      <c r="CE55" s="1">
        <v>23</v>
      </c>
      <c r="CF55" s="1">
        <v>19</v>
      </c>
      <c r="CG55" s="1">
        <v>28</v>
      </c>
      <c r="CH55" s="1">
        <v>26</v>
      </c>
      <c r="CI55" s="1">
        <v>22</v>
      </c>
      <c r="CJ55" s="1">
        <v>19</v>
      </c>
      <c r="CK55" s="1">
        <v>30</v>
      </c>
      <c r="CL55" s="1">
        <v>25</v>
      </c>
      <c r="CM55" s="1">
        <v>28</v>
      </c>
      <c r="CN55" s="1">
        <v>30</v>
      </c>
      <c r="CO55" s="1">
        <v>28</v>
      </c>
    </row>
    <row r="56" spans="1:93" ht="15.75" customHeight="1">
      <c r="A56" s="1" t="s">
        <v>108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>
        <v>1</v>
      </c>
      <c r="AA56" s="1">
        <v>1</v>
      </c>
      <c r="AB56" s="1">
        <v>1</v>
      </c>
      <c r="AC56" s="1">
        <v>4</v>
      </c>
      <c r="AD56" s="1">
        <v>6</v>
      </c>
      <c r="AE56" s="1"/>
      <c r="AF56" s="1">
        <v>10</v>
      </c>
      <c r="AG56" s="1">
        <v>19</v>
      </c>
      <c r="AH56" s="1">
        <v>21</v>
      </c>
      <c r="AI56" s="1">
        <v>30</v>
      </c>
      <c r="AJ56" s="1">
        <v>25</v>
      </c>
      <c r="AK56" s="1">
        <v>28</v>
      </c>
      <c r="AL56" s="1">
        <v>21</v>
      </c>
      <c r="AM56" s="1">
        <v>22</v>
      </c>
      <c r="AN56" s="1">
        <v>31</v>
      </c>
      <c r="AO56" s="1">
        <v>43</v>
      </c>
      <c r="AP56" s="1">
        <v>26</v>
      </c>
      <c r="AQ56" s="1">
        <v>29</v>
      </c>
      <c r="AR56" s="1">
        <v>30</v>
      </c>
      <c r="AS56" s="1">
        <v>36</v>
      </c>
      <c r="AT56" s="1">
        <v>48</v>
      </c>
      <c r="AU56" s="1">
        <v>33</v>
      </c>
      <c r="AV56" s="1">
        <v>36</v>
      </c>
      <c r="AW56" s="1">
        <v>38</v>
      </c>
      <c r="AX56" s="1">
        <v>30</v>
      </c>
      <c r="AY56" s="1">
        <v>54</v>
      </c>
      <c r="AZ56" s="1">
        <v>41</v>
      </c>
      <c r="BA56" s="1">
        <v>49</v>
      </c>
      <c r="BB56" s="1">
        <v>45</v>
      </c>
      <c r="BC56" s="1">
        <v>52</v>
      </c>
      <c r="BD56" s="1">
        <v>31</v>
      </c>
      <c r="BE56" s="1">
        <v>55</v>
      </c>
      <c r="BF56" s="1">
        <v>55</v>
      </c>
      <c r="BG56" s="1">
        <v>46</v>
      </c>
      <c r="BH56" s="1">
        <v>45</v>
      </c>
      <c r="BI56" s="1">
        <v>51</v>
      </c>
      <c r="BJ56" s="1">
        <v>47</v>
      </c>
      <c r="BK56" s="1">
        <v>44</v>
      </c>
      <c r="BL56" s="1">
        <v>38</v>
      </c>
      <c r="BM56" s="1">
        <v>62</v>
      </c>
      <c r="BN56" s="1">
        <v>40</v>
      </c>
      <c r="BO56" s="1">
        <v>37</v>
      </c>
      <c r="BP56" s="1">
        <v>38</v>
      </c>
      <c r="BQ56" s="1">
        <v>46</v>
      </c>
      <c r="BR56" s="1">
        <v>46</v>
      </c>
      <c r="BS56" s="1">
        <v>55</v>
      </c>
      <c r="BT56" s="1">
        <v>69</v>
      </c>
      <c r="BU56" s="1">
        <v>53</v>
      </c>
      <c r="BV56" s="1">
        <v>57</v>
      </c>
      <c r="BW56" s="1">
        <v>60</v>
      </c>
      <c r="BX56" s="1">
        <v>71</v>
      </c>
      <c r="BY56" s="1">
        <v>39</v>
      </c>
      <c r="BZ56" s="1">
        <v>39</v>
      </c>
      <c r="CA56" s="1">
        <v>30</v>
      </c>
      <c r="CB56" s="1">
        <v>40</v>
      </c>
      <c r="CC56" s="1">
        <v>57</v>
      </c>
      <c r="CD56" s="1">
        <v>69</v>
      </c>
      <c r="CE56" s="1">
        <v>67</v>
      </c>
      <c r="CF56" s="1">
        <v>54</v>
      </c>
      <c r="CG56" s="1">
        <v>52</v>
      </c>
      <c r="CH56" s="1">
        <v>49</v>
      </c>
      <c r="CI56" s="1">
        <v>61</v>
      </c>
      <c r="CJ56" s="1">
        <v>63</v>
      </c>
      <c r="CK56" s="1">
        <v>60</v>
      </c>
      <c r="CL56" s="1">
        <v>58</v>
      </c>
      <c r="CM56" s="1">
        <v>38</v>
      </c>
      <c r="CN56" s="1">
        <v>40</v>
      </c>
      <c r="CO56" s="1">
        <v>43</v>
      </c>
    </row>
    <row r="57" spans="1:93" ht="15.75" customHeight="1">
      <c r="A57" s="1" t="s">
        <v>109</v>
      </c>
      <c r="B57" s="4">
        <v>23</v>
      </c>
      <c r="C57" s="4">
        <v>25</v>
      </c>
      <c r="D57" s="4">
        <v>18</v>
      </c>
      <c r="E57" s="4">
        <v>24</v>
      </c>
      <c r="F57" s="4">
        <v>24</v>
      </c>
      <c r="G57" s="4">
        <v>12</v>
      </c>
      <c r="H57" s="4">
        <v>25</v>
      </c>
      <c r="I57" s="4">
        <v>22</v>
      </c>
      <c r="J57" s="4">
        <v>10</v>
      </c>
      <c r="K57" s="4">
        <v>16</v>
      </c>
      <c r="L57" s="4">
        <v>25</v>
      </c>
      <c r="M57" s="4">
        <v>19</v>
      </c>
      <c r="N57" s="4">
        <v>29</v>
      </c>
      <c r="O57" s="4">
        <v>25</v>
      </c>
      <c r="P57" s="4">
        <v>35</v>
      </c>
      <c r="Q57" s="4">
        <v>23</v>
      </c>
      <c r="R57" s="4">
        <v>33</v>
      </c>
      <c r="S57" s="4">
        <v>28</v>
      </c>
      <c r="T57" s="4">
        <v>28</v>
      </c>
      <c r="U57" s="4">
        <v>21</v>
      </c>
      <c r="V57" s="4">
        <v>30</v>
      </c>
      <c r="W57" s="4">
        <v>35</v>
      </c>
      <c r="X57" s="4">
        <v>16</v>
      </c>
      <c r="Y57" s="4">
        <v>23</v>
      </c>
      <c r="Z57" s="4">
        <v>17</v>
      </c>
      <c r="AA57" s="4">
        <v>17</v>
      </c>
      <c r="AB57" s="4">
        <v>18</v>
      </c>
      <c r="AC57" s="4">
        <v>21</v>
      </c>
      <c r="AD57" s="4">
        <v>20</v>
      </c>
      <c r="AE57" s="4">
        <v>29</v>
      </c>
      <c r="AF57" s="4">
        <v>43</v>
      </c>
      <c r="AG57" s="4">
        <v>41</v>
      </c>
      <c r="AH57" s="4">
        <v>30</v>
      </c>
      <c r="AI57" s="4">
        <v>36</v>
      </c>
      <c r="AJ57" s="4">
        <v>37</v>
      </c>
      <c r="AK57" s="4">
        <v>52</v>
      </c>
      <c r="AL57" s="4">
        <v>42</v>
      </c>
      <c r="AM57" s="4">
        <v>37</v>
      </c>
      <c r="AN57" s="4">
        <v>35</v>
      </c>
      <c r="AO57" s="4">
        <v>25</v>
      </c>
      <c r="AP57" s="4">
        <v>37</v>
      </c>
      <c r="AQ57" s="4">
        <v>35</v>
      </c>
      <c r="AR57" s="4">
        <v>35</v>
      </c>
      <c r="AS57" s="4">
        <v>24</v>
      </c>
      <c r="AT57" s="4">
        <v>25</v>
      </c>
      <c r="AU57" s="4">
        <v>22</v>
      </c>
      <c r="AV57" s="4">
        <v>33</v>
      </c>
      <c r="AW57" s="4">
        <v>35</v>
      </c>
      <c r="AX57" s="4">
        <v>40</v>
      </c>
      <c r="AY57" s="4">
        <v>41</v>
      </c>
      <c r="AZ57" s="4">
        <v>22</v>
      </c>
      <c r="BA57" s="4">
        <v>35</v>
      </c>
      <c r="BB57" s="4">
        <v>46</v>
      </c>
      <c r="BC57" s="4">
        <v>53</v>
      </c>
      <c r="BD57" s="4">
        <v>35</v>
      </c>
      <c r="BE57" s="4">
        <v>43</v>
      </c>
      <c r="BF57" s="4">
        <v>38</v>
      </c>
      <c r="BG57" s="4">
        <v>41</v>
      </c>
      <c r="BH57" s="4">
        <v>35</v>
      </c>
      <c r="BI57" s="4">
        <v>30</v>
      </c>
      <c r="BJ57" s="4">
        <v>50</v>
      </c>
      <c r="BK57" s="4">
        <v>26</v>
      </c>
      <c r="BL57" s="4">
        <v>24</v>
      </c>
      <c r="BM57" s="4">
        <v>30</v>
      </c>
      <c r="BN57" s="4">
        <v>20</v>
      </c>
      <c r="BO57" s="4">
        <v>19</v>
      </c>
      <c r="BP57" s="4">
        <v>26</v>
      </c>
      <c r="BQ57" s="4">
        <v>18</v>
      </c>
      <c r="BR57" s="4">
        <v>28</v>
      </c>
      <c r="BS57" s="4">
        <v>26</v>
      </c>
      <c r="BT57" s="4">
        <v>14</v>
      </c>
      <c r="BU57" s="4">
        <v>17</v>
      </c>
      <c r="BV57" s="4">
        <v>13</v>
      </c>
      <c r="BW57" s="4">
        <v>23</v>
      </c>
      <c r="BX57" s="4">
        <v>10</v>
      </c>
      <c r="BY57" s="4">
        <v>28</v>
      </c>
      <c r="BZ57" s="4">
        <v>13</v>
      </c>
      <c r="CA57" s="4">
        <v>21</v>
      </c>
      <c r="CB57" s="4">
        <v>23</v>
      </c>
      <c r="CC57" s="4">
        <v>31</v>
      </c>
      <c r="CD57" s="4">
        <v>21</v>
      </c>
      <c r="CE57" s="4">
        <v>23</v>
      </c>
      <c r="CF57" s="4">
        <v>19</v>
      </c>
      <c r="CG57" s="4">
        <v>28</v>
      </c>
      <c r="CH57" s="4">
        <v>26</v>
      </c>
      <c r="CI57" s="4">
        <v>22</v>
      </c>
      <c r="CJ57" s="4">
        <v>19</v>
      </c>
      <c r="CK57" s="4">
        <v>30</v>
      </c>
      <c r="CL57" s="4">
        <v>25</v>
      </c>
      <c r="CM57" s="4">
        <v>28</v>
      </c>
      <c r="CN57" s="4">
        <v>30</v>
      </c>
      <c r="CO57" s="4">
        <v>28</v>
      </c>
    </row>
    <row r="58" spans="1:93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</row>
    <row r="59" spans="1:93" ht="15.75" customHeight="1">
      <c r="A59" s="2" t="s">
        <v>112</v>
      </c>
      <c r="B59" s="1" t="s">
        <v>116</v>
      </c>
      <c r="C59" s="1" t="s">
        <v>117</v>
      </c>
      <c r="D59" s="1" t="s">
        <v>118</v>
      </c>
      <c r="E59" s="1" t="s">
        <v>119</v>
      </c>
      <c r="F59" s="1" t="s">
        <v>120</v>
      </c>
      <c r="G59" s="1" t="s">
        <v>121</v>
      </c>
      <c r="H59" s="1" t="s">
        <v>122</v>
      </c>
      <c r="I59" s="1" t="s">
        <v>123</v>
      </c>
      <c r="J59" s="1" t="s">
        <v>124</v>
      </c>
      <c r="K59" s="1" t="s">
        <v>125</v>
      </c>
      <c r="L59" s="1" t="s">
        <v>126</v>
      </c>
      <c r="M59" s="1" t="s">
        <v>127</v>
      </c>
      <c r="N59" s="1" t="s">
        <v>128</v>
      </c>
      <c r="O59" s="1" t="s">
        <v>129</v>
      </c>
      <c r="P59" s="1" t="s">
        <v>130</v>
      </c>
      <c r="Q59" s="1" t="s">
        <v>131</v>
      </c>
      <c r="R59" s="1" t="s">
        <v>132</v>
      </c>
      <c r="S59" s="1" t="s">
        <v>133</v>
      </c>
      <c r="T59" s="1" t="s">
        <v>134</v>
      </c>
      <c r="U59" s="1" t="s">
        <v>135</v>
      </c>
      <c r="V59" s="1" t="s">
        <v>136</v>
      </c>
      <c r="W59" s="1" t="s">
        <v>137</v>
      </c>
      <c r="X59" s="1" t="s">
        <v>138</v>
      </c>
      <c r="Y59" s="1" t="s">
        <v>139</v>
      </c>
      <c r="Z59" s="1" t="s">
        <v>140</v>
      </c>
      <c r="AA59" s="1" t="s">
        <v>141</v>
      </c>
      <c r="AB59" s="1" t="s">
        <v>142</v>
      </c>
      <c r="AC59" s="1" t="s">
        <v>143</v>
      </c>
      <c r="AD59" s="1" t="s">
        <v>144</v>
      </c>
      <c r="AE59" s="1" t="s">
        <v>145</v>
      </c>
      <c r="AF59" s="1" t="s">
        <v>146</v>
      </c>
      <c r="AG59" s="1" t="s">
        <v>147</v>
      </c>
      <c r="AH59" s="1" t="s">
        <v>148</v>
      </c>
      <c r="AI59" s="1" t="s">
        <v>149</v>
      </c>
      <c r="AJ59" s="1" t="s">
        <v>150</v>
      </c>
      <c r="AK59" s="1" t="s">
        <v>151</v>
      </c>
      <c r="AL59" s="1" t="s">
        <v>152</v>
      </c>
      <c r="AM59" s="1" t="s">
        <v>153</v>
      </c>
      <c r="AN59" s="1" t="s">
        <v>154</v>
      </c>
      <c r="AO59" s="1" t="s">
        <v>155</v>
      </c>
      <c r="AP59" s="1" t="s">
        <v>156</v>
      </c>
      <c r="AQ59" s="1" t="s">
        <v>157</v>
      </c>
      <c r="AR59" s="1" t="s">
        <v>158</v>
      </c>
      <c r="AS59" s="1" t="s">
        <v>159</v>
      </c>
      <c r="AT59" s="1" t="s">
        <v>160</v>
      </c>
      <c r="AU59" s="1" t="s">
        <v>161</v>
      </c>
      <c r="AV59" s="1" t="s">
        <v>162</v>
      </c>
      <c r="AW59" s="1" t="s">
        <v>163</v>
      </c>
      <c r="AX59" s="1" t="s">
        <v>164</v>
      </c>
      <c r="AY59" s="1" t="s">
        <v>165</v>
      </c>
      <c r="AZ59" s="1" t="s">
        <v>166</v>
      </c>
      <c r="BA59" s="1" t="s">
        <v>167</v>
      </c>
      <c r="BB59" s="1" t="s">
        <v>168</v>
      </c>
      <c r="BC59" s="1" t="s">
        <v>169</v>
      </c>
      <c r="BD59" s="1" t="s">
        <v>170</v>
      </c>
      <c r="BE59" s="1" t="s">
        <v>171</v>
      </c>
      <c r="BF59" s="1" t="s">
        <v>172</v>
      </c>
      <c r="BG59" s="1" t="s">
        <v>173</v>
      </c>
      <c r="BH59" s="1" t="s">
        <v>174</v>
      </c>
      <c r="BI59" s="1" t="s">
        <v>175</v>
      </c>
      <c r="BJ59" s="1" t="s">
        <v>176</v>
      </c>
      <c r="BK59" s="1" t="s">
        <v>177</v>
      </c>
      <c r="BL59" s="1" t="s">
        <v>178</v>
      </c>
      <c r="BM59" s="1" t="s">
        <v>179</v>
      </c>
      <c r="BN59" s="1" t="s">
        <v>180</v>
      </c>
      <c r="BO59" s="1" t="s">
        <v>181</v>
      </c>
      <c r="BP59" s="1" t="s">
        <v>182</v>
      </c>
      <c r="BQ59" s="1" t="s">
        <v>183</v>
      </c>
      <c r="BR59" s="1" t="s">
        <v>184</v>
      </c>
      <c r="BS59" s="1" t="s">
        <v>185</v>
      </c>
      <c r="BT59" s="1" t="s">
        <v>186</v>
      </c>
      <c r="BU59" s="1" t="s">
        <v>187</v>
      </c>
      <c r="BV59" s="1" t="s">
        <v>188</v>
      </c>
      <c r="BW59" s="1" t="s">
        <v>189</v>
      </c>
      <c r="BX59" s="1" t="s">
        <v>190</v>
      </c>
      <c r="BY59" s="1" t="s">
        <v>191</v>
      </c>
      <c r="BZ59" s="1" t="s">
        <v>192</v>
      </c>
      <c r="CA59" s="1" t="s">
        <v>193</v>
      </c>
      <c r="CB59" s="1" t="s">
        <v>194</v>
      </c>
      <c r="CC59" s="1" t="s">
        <v>195</v>
      </c>
      <c r="CD59" s="1" t="s">
        <v>196</v>
      </c>
      <c r="CE59" s="1" t="s">
        <v>197</v>
      </c>
      <c r="CF59" s="1" t="s">
        <v>198</v>
      </c>
      <c r="CG59" s="1" t="s">
        <v>199</v>
      </c>
      <c r="CH59" s="1" t="s">
        <v>200</v>
      </c>
      <c r="CI59" s="1" t="s">
        <v>201</v>
      </c>
      <c r="CJ59" s="1" t="s">
        <v>202</v>
      </c>
      <c r="CK59" s="1" t="s">
        <v>203</v>
      </c>
      <c r="CL59" s="1" t="s">
        <v>204</v>
      </c>
      <c r="CM59" s="1" t="s">
        <v>205</v>
      </c>
      <c r="CN59" s="1" t="s">
        <v>206</v>
      </c>
      <c r="CO59" s="1" t="s">
        <v>209</v>
      </c>
    </row>
    <row r="60" spans="1:93" ht="15.75" customHeight="1">
      <c r="A60" s="3" t="s">
        <v>1</v>
      </c>
      <c r="B60" s="3" t="s">
        <v>2</v>
      </c>
      <c r="C60" s="3" t="s">
        <v>3</v>
      </c>
      <c r="D60" s="3" t="s">
        <v>4</v>
      </c>
      <c r="E60" s="3" t="s">
        <v>5</v>
      </c>
      <c r="F60" s="3" t="s">
        <v>6</v>
      </c>
      <c r="G60" s="3" t="s">
        <v>7</v>
      </c>
      <c r="H60" s="3" t="s">
        <v>8</v>
      </c>
      <c r="I60" s="3" t="s">
        <v>9</v>
      </c>
      <c r="J60" s="3" t="s">
        <v>10</v>
      </c>
      <c r="K60" s="3" t="s">
        <v>11</v>
      </c>
      <c r="L60" s="3" t="s">
        <v>12</v>
      </c>
      <c r="M60" s="3" t="s">
        <v>13</v>
      </c>
      <c r="N60" s="3" t="s">
        <v>14</v>
      </c>
      <c r="O60" s="3" t="s">
        <v>15</v>
      </c>
      <c r="P60" s="3" t="s">
        <v>16</v>
      </c>
      <c r="Q60" s="3" t="s">
        <v>17</v>
      </c>
      <c r="R60" s="3" t="s">
        <v>18</v>
      </c>
      <c r="S60" s="3" t="s">
        <v>19</v>
      </c>
      <c r="T60" s="3" t="s">
        <v>20</v>
      </c>
      <c r="U60" s="3" t="s">
        <v>21</v>
      </c>
      <c r="V60" s="3" t="s">
        <v>22</v>
      </c>
      <c r="W60" s="3" t="s">
        <v>23</v>
      </c>
      <c r="X60" s="3" t="s">
        <v>24</v>
      </c>
      <c r="Y60" s="3" t="s">
        <v>25</v>
      </c>
      <c r="Z60" s="3" t="s">
        <v>26</v>
      </c>
      <c r="AA60" s="3" t="s">
        <v>27</v>
      </c>
      <c r="AB60" s="3" t="s">
        <v>28</v>
      </c>
      <c r="AC60" s="3" t="s">
        <v>29</v>
      </c>
      <c r="AD60" s="3" t="s">
        <v>30</v>
      </c>
      <c r="AE60" s="3" t="s">
        <v>31</v>
      </c>
      <c r="AF60" s="3" t="s">
        <v>32</v>
      </c>
      <c r="AG60" s="3" t="s">
        <v>33</v>
      </c>
      <c r="AH60" s="3" t="s">
        <v>34</v>
      </c>
      <c r="AI60" s="3" t="s">
        <v>35</v>
      </c>
      <c r="AJ60" s="3" t="s">
        <v>36</v>
      </c>
      <c r="AK60" s="3" t="s">
        <v>37</v>
      </c>
      <c r="AL60" s="3" t="s">
        <v>38</v>
      </c>
      <c r="AM60" s="3" t="s">
        <v>39</v>
      </c>
      <c r="AN60" s="3" t="s">
        <v>40</v>
      </c>
      <c r="AO60" s="3" t="s">
        <v>41</v>
      </c>
      <c r="AP60" s="3" t="s">
        <v>42</v>
      </c>
      <c r="AQ60" s="3" t="s">
        <v>43</v>
      </c>
      <c r="AR60" s="3" t="s">
        <v>44</v>
      </c>
      <c r="AS60" s="3" t="s">
        <v>45</v>
      </c>
      <c r="AT60" s="3" t="s">
        <v>46</v>
      </c>
      <c r="AU60" s="3" t="s">
        <v>47</v>
      </c>
      <c r="AV60" s="3" t="s">
        <v>48</v>
      </c>
      <c r="AW60" s="3" t="s">
        <v>49</v>
      </c>
      <c r="AX60" s="3" t="s">
        <v>50</v>
      </c>
      <c r="AY60" s="3" t="s">
        <v>51</v>
      </c>
      <c r="AZ60" s="3" t="s">
        <v>52</v>
      </c>
      <c r="BA60" s="3" t="s">
        <v>53</v>
      </c>
      <c r="BB60" s="3" t="s">
        <v>54</v>
      </c>
      <c r="BC60" s="3" t="s">
        <v>55</v>
      </c>
      <c r="BD60" s="3" t="s">
        <v>56</v>
      </c>
      <c r="BE60" s="3" t="s">
        <v>57</v>
      </c>
      <c r="BF60" s="3" t="s">
        <v>58</v>
      </c>
      <c r="BG60" s="3" t="s">
        <v>59</v>
      </c>
      <c r="BH60" s="3" t="s">
        <v>60</v>
      </c>
      <c r="BI60" s="3" t="s">
        <v>61</v>
      </c>
      <c r="BJ60" s="3" t="s">
        <v>62</v>
      </c>
      <c r="BK60" s="3" t="s">
        <v>63</v>
      </c>
      <c r="BL60" s="3" t="s">
        <v>64</v>
      </c>
      <c r="BM60" s="3" t="s">
        <v>65</v>
      </c>
      <c r="BN60" s="3" t="s">
        <v>66</v>
      </c>
      <c r="BO60" s="3" t="s">
        <v>67</v>
      </c>
      <c r="BP60" s="3" t="s">
        <v>68</v>
      </c>
      <c r="BQ60" s="3" t="s">
        <v>69</v>
      </c>
      <c r="BR60" s="3" t="s">
        <v>70</v>
      </c>
      <c r="BS60" s="3" t="s">
        <v>71</v>
      </c>
      <c r="BT60" s="3" t="s">
        <v>72</v>
      </c>
      <c r="BU60" s="3" t="s">
        <v>73</v>
      </c>
      <c r="BV60" s="3" t="s">
        <v>74</v>
      </c>
      <c r="BW60" s="3" t="s">
        <v>75</v>
      </c>
      <c r="BX60" s="3" t="s">
        <v>76</v>
      </c>
      <c r="BY60" s="3" t="s">
        <v>77</v>
      </c>
      <c r="BZ60" s="3" t="s">
        <v>78</v>
      </c>
      <c r="CA60" s="3" t="s">
        <v>79</v>
      </c>
      <c r="CB60" s="3" t="s">
        <v>80</v>
      </c>
      <c r="CC60" s="3" t="s">
        <v>81</v>
      </c>
      <c r="CD60" s="3" t="s">
        <v>82</v>
      </c>
      <c r="CE60" s="3" t="s">
        <v>83</v>
      </c>
      <c r="CF60" s="3" t="s">
        <v>84</v>
      </c>
      <c r="CG60" s="3" t="s">
        <v>85</v>
      </c>
      <c r="CH60" s="3" t="s">
        <v>86</v>
      </c>
      <c r="CI60" s="3" t="s">
        <v>87</v>
      </c>
      <c r="CJ60" s="3" t="s">
        <v>88</v>
      </c>
      <c r="CK60" s="3" t="s">
        <v>89</v>
      </c>
      <c r="CL60" s="3" t="s">
        <v>90</v>
      </c>
      <c r="CM60" s="3" t="s">
        <v>91</v>
      </c>
      <c r="CN60" s="3" t="s">
        <v>92</v>
      </c>
      <c r="CO60" s="3" t="s">
        <v>93</v>
      </c>
    </row>
    <row r="61" spans="1:93" ht="15.75" customHeight="1">
      <c r="A61" s="1" t="s">
        <v>94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4">
        <v>174</v>
      </c>
      <c r="AS61" s="4">
        <v>208</v>
      </c>
      <c r="AT61" s="4">
        <v>202</v>
      </c>
      <c r="AU61" s="4">
        <v>201</v>
      </c>
      <c r="AV61" s="4">
        <v>198</v>
      </c>
      <c r="AW61" s="4">
        <v>211</v>
      </c>
      <c r="AX61" s="4">
        <v>188</v>
      </c>
      <c r="AY61" s="4">
        <v>239</v>
      </c>
      <c r="AZ61" s="4">
        <v>169</v>
      </c>
      <c r="BA61" s="4">
        <v>213</v>
      </c>
      <c r="BB61" s="4">
        <v>200</v>
      </c>
      <c r="BC61" s="4">
        <v>188</v>
      </c>
      <c r="BD61" s="4">
        <v>196</v>
      </c>
      <c r="BE61" s="4">
        <v>220</v>
      </c>
      <c r="BF61" s="4">
        <v>222</v>
      </c>
      <c r="BG61" s="4">
        <v>169</v>
      </c>
      <c r="BH61" s="4">
        <v>177</v>
      </c>
      <c r="BI61" s="4">
        <v>186</v>
      </c>
      <c r="BJ61" s="4">
        <v>213</v>
      </c>
      <c r="BK61" s="4">
        <v>208</v>
      </c>
      <c r="BL61" s="4">
        <v>216</v>
      </c>
      <c r="BM61" s="4">
        <v>225</v>
      </c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>
        <v>1</v>
      </c>
      <c r="CH61" s="1"/>
      <c r="CI61" s="1">
        <v>1</v>
      </c>
      <c r="CJ61" s="1">
        <v>2</v>
      </c>
      <c r="CK61" s="1">
        <v>6</v>
      </c>
      <c r="CL61" s="1">
        <v>6</v>
      </c>
      <c r="CM61" s="1">
        <v>3</v>
      </c>
      <c r="CN61" s="1">
        <v>15</v>
      </c>
      <c r="CO61" s="1">
        <v>6</v>
      </c>
    </row>
    <row r="62" spans="1:93" ht="15.75" customHeight="1">
      <c r="A62" s="1" t="s">
        <v>95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>
        <v>239</v>
      </c>
      <c r="AS62" s="1">
        <v>285</v>
      </c>
      <c r="AT62" s="1">
        <v>267</v>
      </c>
      <c r="AU62" s="1">
        <v>281</v>
      </c>
      <c r="AV62" s="1">
        <v>269</v>
      </c>
      <c r="AW62" s="1">
        <v>303</v>
      </c>
      <c r="AX62" s="1">
        <v>303</v>
      </c>
      <c r="AY62" s="1">
        <v>315</v>
      </c>
      <c r="AZ62" s="1">
        <v>269</v>
      </c>
      <c r="BA62" s="1">
        <v>231</v>
      </c>
      <c r="BB62" s="1">
        <v>285</v>
      </c>
      <c r="BC62" s="1">
        <v>285</v>
      </c>
      <c r="BD62" s="1">
        <v>312</v>
      </c>
      <c r="BE62" s="1">
        <v>308</v>
      </c>
      <c r="BF62" s="1">
        <v>313</v>
      </c>
      <c r="BG62" s="1">
        <v>265</v>
      </c>
      <c r="BH62" s="1">
        <v>299</v>
      </c>
      <c r="BI62" s="1">
        <v>284</v>
      </c>
      <c r="BJ62" s="1">
        <v>282</v>
      </c>
      <c r="BK62" s="1">
        <v>298</v>
      </c>
      <c r="BL62" s="1">
        <v>316</v>
      </c>
      <c r="BM62" s="1">
        <v>329</v>
      </c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>
        <v>79</v>
      </c>
      <c r="CH62" s="1">
        <v>93</v>
      </c>
      <c r="CI62" s="1">
        <v>89</v>
      </c>
      <c r="CJ62" s="1">
        <v>103</v>
      </c>
      <c r="CK62" s="1">
        <v>82</v>
      </c>
      <c r="CL62" s="1">
        <v>114</v>
      </c>
      <c r="CM62" s="1">
        <v>97</v>
      </c>
      <c r="CN62" s="1">
        <v>98</v>
      </c>
      <c r="CO62" s="1">
        <v>109</v>
      </c>
    </row>
    <row r="63" spans="1:93" ht="15.75" customHeight="1">
      <c r="A63" s="1" t="s">
        <v>96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>
        <v>471</v>
      </c>
      <c r="AS63" s="1">
        <v>541</v>
      </c>
      <c r="AT63" s="1">
        <v>475</v>
      </c>
      <c r="AU63" s="1">
        <v>536</v>
      </c>
      <c r="AV63" s="1">
        <v>467</v>
      </c>
      <c r="AW63" s="1">
        <v>521</v>
      </c>
      <c r="AX63" s="1">
        <v>493</v>
      </c>
      <c r="AY63" s="1">
        <v>568</v>
      </c>
      <c r="AZ63" s="1">
        <v>501</v>
      </c>
      <c r="BA63" s="1">
        <v>572</v>
      </c>
      <c r="BB63" s="1">
        <v>540</v>
      </c>
      <c r="BC63" s="1">
        <v>478</v>
      </c>
      <c r="BD63" s="1">
        <v>589</v>
      </c>
      <c r="BE63" s="1">
        <v>485</v>
      </c>
      <c r="BF63" s="1">
        <v>552</v>
      </c>
      <c r="BG63" s="1">
        <v>469</v>
      </c>
      <c r="BH63" s="1">
        <v>531</v>
      </c>
      <c r="BI63" s="1">
        <v>468</v>
      </c>
      <c r="BJ63" s="1">
        <v>531</v>
      </c>
      <c r="BK63" s="1">
        <v>543</v>
      </c>
      <c r="BL63" s="1">
        <v>538</v>
      </c>
      <c r="BM63" s="1">
        <v>578</v>
      </c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>
        <v>133</v>
      </c>
      <c r="CH63" s="1">
        <v>149</v>
      </c>
      <c r="CI63" s="1">
        <v>141</v>
      </c>
      <c r="CJ63" s="1">
        <v>134</v>
      </c>
      <c r="CK63" s="1">
        <v>165</v>
      </c>
      <c r="CL63" s="1">
        <v>175</v>
      </c>
      <c r="CM63" s="1">
        <v>151</v>
      </c>
      <c r="CN63" s="1">
        <v>132</v>
      </c>
      <c r="CO63" s="1">
        <v>133</v>
      </c>
    </row>
    <row r="64" spans="1:93" ht="15.75" customHeight="1">
      <c r="A64" s="1" t="s">
        <v>97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</row>
    <row r="65" spans="1:93" ht="15.75" customHeight="1">
      <c r="A65" s="1" t="s">
        <v>98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</row>
    <row r="66" spans="1:93" ht="15.75" customHeight="1">
      <c r="A66" s="1" t="s">
        <v>99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>
        <v>245</v>
      </c>
      <c r="AS66" s="1">
        <v>238</v>
      </c>
      <c r="AT66" s="1">
        <v>269</v>
      </c>
      <c r="AU66" s="1">
        <v>271</v>
      </c>
      <c r="AV66" s="1">
        <v>170</v>
      </c>
      <c r="AW66" s="1">
        <v>205</v>
      </c>
      <c r="AX66" s="1">
        <v>200</v>
      </c>
      <c r="AY66" s="1">
        <v>239</v>
      </c>
      <c r="AZ66" s="1">
        <v>205</v>
      </c>
      <c r="BA66" s="1">
        <v>289</v>
      </c>
      <c r="BB66" s="1">
        <v>289</v>
      </c>
      <c r="BC66" s="1">
        <v>205</v>
      </c>
      <c r="BD66" s="1">
        <v>213</v>
      </c>
      <c r="BE66" s="1">
        <v>190</v>
      </c>
      <c r="BF66" s="1">
        <v>236</v>
      </c>
      <c r="BG66" s="1">
        <v>225</v>
      </c>
      <c r="BH66" s="1">
        <v>259</v>
      </c>
      <c r="BI66" s="1">
        <v>277</v>
      </c>
      <c r="BJ66" s="1">
        <v>202</v>
      </c>
      <c r="BK66" s="1">
        <v>185</v>
      </c>
      <c r="BL66" s="1">
        <v>164</v>
      </c>
      <c r="BM66" s="1">
        <v>187</v>
      </c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>
        <v>97</v>
      </c>
      <c r="CH66" s="1">
        <v>77</v>
      </c>
      <c r="CI66" s="1">
        <v>84</v>
      </c>
      <c r="CJ66" s="1">
        <v>81</v>
      </c>
      <c r="CK66" s="1">
        <v>62</v>
      </c>
      <c r="CL66" s="1">
        <v>79</v>
      </c>
      <c r="CM66" s="1">
        <v>77</v>
      </c>
      <c r="CN66" s="1">
        <v>89</v>
      </c>
      <c r="CO66" s="1">
        <v>70</v>
      </c>
    </row>
    <row r="67" spans="1:93" ht="15.75" customHeight="1">
      <c r="A67" s="1" t="s">
        <v>100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>
        <v>180</v>
      </c>
      <c r="AS67" s="1">
        <v>234</v>
      </c>
      <c r="AT67" s="1">
        <v>260</v>
      </c>
      <c r="AU67" s="1">
        <v>265</v>
      </c>
      <c r="AV67" s="1">
        <v>189</v>
      </c>
      <c r="AW67" s="1">
        <v>183</v>
      </c>
      <c r="AX67" s="1">
        <v>176</v>
      </c>
      <c r="AY67" s="1">
        <v>179</v>
      </c>
      <c r="AZ67" s="1">
        <v>193</v>
      </c>
      <c r="BA67" s="1">
        <v>250</v>
      </c>
      <c r="BB67" s="1">
        <v>227</v>
      </c>
      <c r="BC67" s="1">
        <v>175</v>
      </c>
      <c r="BD67" s="1">
        <v>209</v>
      </c>
      <c r="BE67" s="1">
        <v>142</v>
      </c>
      <c r="BF67" s="1">
        <v>182</v>
      </c>
      <c r="BG67" s="1">
        <v>198</v>
      </c>
      <c r="BH67" s="1">
        <v>224</v>
      </c>
      <c r="BI67" s="1">
        <v>242</v>
      </c>
      <c r="BJ67" s="1">
        <v>182</v>
      </c>
      <c r="BK67" s="1">
        <v>133</v>
      </c>
      <c r="BL67" s="1">
        <v>156</v>
      </c>
      <c r="BM67" s="1">
        <v>186</v>
      </c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>
        <v>71</v>
      </c>
      <c r="CH67" s="1">
        <v>71</v>
      </c>
      <c r="CI67" s="1">
        <v>56</v>
      </c>
      <c r="CJ67" s="1">
        <v>53</v>
      </c>
      <c r="CK67" s="1">
        <v>66</v>
      </c>
      <c r="CL67" s="1">
        <v>69</v>
      </c>
      <c r="CM67" s="1">
        <v>63</v>
      </c>
      <c r="CN67" s="1">
        <v>72</v>
      </c>
      <c r="CO67" s="1">
        <v>57</v>
      </c>
    </row>
    <row r="68" spans="1:93" ht="15.75" customHeight="1">
      <c r="A68" s="1" t="s">
        <v>101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4">
        <v>86</v>
      </c>
      <c r="AS68" s="4">
        <v>94</v>
      </c>
      <c r="AT68" s="4">
        <v>99</v>
      </c>
      <c r="AU68" s="4">
        <v>121</v>
      </c>
      <c r="AV68" s="4">
        <v>108</v>
      </c>
      <c r="AW68" s="4">
        <v>102</v>
      </c>
      <c r="AX68" s="4">
        <v>96</v>
      </c>
      <c r="AY68" s="4">
        <v>121</v>
      </c>
      <c r="AZ68" s="4">
        <v>104</v>
      </c>
      <c r="BA68" s="4">
        <v>109</v>
      </c>
      <c r="BB68" s="4">
        <v>119</v>
      </c>
      <c r="BC68" s="4">
        <v>96</v>
      </c>
      <c r="BD68" s="4">
        <v>96</v>
      </c>
      <c r="BE68" s="4">
        <v>96</v>
      </c>
      <c r="BF68" s="4">
        <v>96</v>
      </c>
      <c r="BG68" s="4">
        <v>95</v>
      </c>
      <c r="BH68" s="4">
        <v>112</v>
      </c>
      <c r="BI68" s="4">
        <v>110</v>
      </c>
      <c r="BJ68" s="4">
        <v>107</v>
      </c>
      <c r="BK68" s="4">
        <v>111</v>
      </c>
      <c r="BL68" s="4">
        <v>90</v>
      </c>
      <c r="BM68" s="4">
        <v>110</v>
      </c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>
        <v>46</v>
      </c>
      <c r="CH68" s="1">
        <v>47</v>
      </c>
      <c r="CI68" s="1">
        <v>31</v>
      </c>
      <c r="CJ68" s="1">
        <v>37</v>
      </c>
      <c r="CK68" s="1">
        <v>40</v>
      </c>
      <c r="CL68" s="1">
        <v>21</v>
      </c>
      <c r="CM68" s="1">
        <v>22</v>
      </c>
      <c r="CN68" s="1">
        <v>44</v>
      </c>
      <c r="CO68" s="1">
        <v>37</v>
      </c>
    </row>
    <row r="69" spans="1:93" ht="15.75" customHeight="1">
      <c r="A69" s="1" t="s">
        <v>102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>
        <v>207</v>
      </c>
      <c r="AS69" s="1">
        <v>196</v>
      </c>
      <c r="AT69" s="1">
        <v>228</v>
      </c>
      <c r="AU69" s="1">
        <v>255</v>
      </c>
      <c r="AV69" s="1">
        <v>200</v>
      </c>
      <c r="AW69" s="1">
        <v>207</v>
      </c>
      <c r="AX69" s="1">
        <v>204</v>
      </c>
      <c r="AY69" s="1">
        <v>271</v>
      </c>
      <c r="AZ69" s="1">
        <v>212</v>
      </c>
      <c r="BA69" s="1">
        <v>242</v>
      </c>
      <c r="BB69" s="1">
        <v>265</v>
      </c>
      <c r="BC69" s="1">
        <v>215</v>
      </c>
      <c r="BD69" s="1">
        <v>194</v>
      </c>
      <c r="BE69" s="1">
        <v>227</v>
      </c>
      <c r="BF69" s="1">
        <v>214</v>
      </c>
      <c r="BG69" s="1">
        <v>202</v>
      </c>
      <c r="BH69" s="1">
        <v>225</v>
      </c>
      <c r="BI69" s="1">
        <v>281</v>
      </c>
      <c r="BJ69" s="1">
        <v>223</v>
      </c>
      <c r="BK69" s="1">
        <v>227</v>
      </c>
      <c r="BL69" s="1">
        <v>192</v>
      </c>
      <c r="BM69" s="1">
        <v>235</v>
      </c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>
        <v>215</v>
      </c>
      <c r="CH69" s="1">
        <v>237</v>
      </c>
      <c r="CI69" s="1">
        <v>189</v>
      </c>
      <c r="CJ69" s="1">
        <v>172</v>
      </c>
      <c r="CK69" s="1">
        <v>203</v>
      </c>
      <c r="CL69" s="1">
        <v>167</v>
      </c>
      <c r="CM69" s="1">
        <v>185</v>
      </c>
      <c r="CN69" s="1">
        <v>164</v>
      </c>
      <c r="CO69" s="1">
        <v>177</v>
      </c>
    </row>
    <row r="70" spans="1:93" ht="15.75" customHeight="1">
      <c r="A70" s="1" t="s">
        <v>103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>
        <v>110</v>
      </c>
      <c r="AS70" s="1">
        <v>83</v>
      </c>
      <c r="AT70" s="1">
        <v>120</v>
      </c>
      <c r="AU70" s="1">
        <v>126</v>
      </c>
      <c r="AV70" s="1">
        <v>98</v>
      </c>
      <c r="AW70" s="1">
        <v>86</v>
      </c>
      <c r="AX70" s="1">
        <v>98</v>
      </c>
      <c r="AY70" s="1">
        <v>102</v>
      </c>
      <c r="AZ70" s="1">
        <v>112</v>
      </c>
      <c r="BA70" s="1">
        <v>77</v>
      </c>
      <c r="BB70" s="1">
        <v>105</v>
      </c>
      <c r="BC70" s="1">
        <v>110</v>
      </c>
      <c r="BD70" s="1">
        <v>86</v>
      </c>
      <c r="BE70" s="1">
        <v>96</v>
      </c>
      <c r="BF70" s="1">
        <v>99</v>
      </c>
      <c r="BG70" s="1">
        <v>86</v>
      </c>
      <c r="BH70" s="1">
        <v>97</v>
      </c>
      <c r="BI70" s="1">
        <v>109</v>
      </c>
      <c r="BJ70" s="1">
        <v>95</v>
      </c>
      <c r="BK70" s="1">
        <v>83</v>
      </c>
      <c r="BL70" s="1">
        <v>109</v>
      </c>
      <c r="BM70" s="1">
        <v>95</v>
      </c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>
        <v>22</v>
      </c>
      <c r="CH70" s="1">
        <v>20</v>
      </c>
      <c r="CI70" s="1">
        <v>19</v>
      </c>
      <c r="CJ70" s="1">
        <v>23</v>
      </c>
      <c r="CK70" s="1">
        <v>19</v>
      </c>
      <c r="CL70" s="1">
        <v>23</v>
      </c>
      <c r="CM70" s="1">
        <v>18</v>
      </c>
      <c r="CN70" s="1">
        <v>16</v>
      </c>
      <c r="CO70" s="1">
        <v>23</v>
      </c>
    </row>
    <row r="71" spans="1:93" ht="15.75" customHeight="1">
      <c r="A71" s="1" t="s">
        <v>104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>
        <v>222</v>
      </c>
      <c r="AS71" s="1">
        <v>214</v>
      </c>
      <c r="AT71" s="1">
        <v>226</v>
      </c>
      <c r="AU71" s="1">
        <v>276</v>
      </c>
      <c r="AV71" s="1">
        <v>214</v>
      </c>
      <c r="AW71" s="1">
        <v>190</v>
      </c>
      <c r="AX71" s="1">
        <v>193</v>
      </c>
      <c r="AY71" s="1">
        <v>274</v>
      </c>
      <c r="AZ71" s="1">
        <v>223</v>
      </c>
      <c r="BA71" s="1">
        <v>244</v>
      </c>
      <c r="BB71" s="1">
        <v>247</v>
      </c>
      <c r="BC71" s="1">
        <v>229</v>
      </c>
      <c r="BD71" s="1">
        <v>239</v>
      </c>
      <c r="BE71" s="1">
        <v>213</v>
      </c>
      <c r="BF71" s="1">
        <v>245</v>
      </c>
      <c r="BG71" s="1">
        <v>210</v>
      </c>
      <c r="BH71" s="1">
        <v>254</v>
      </c>
      <c r="BI71" s="1">
        <v>234</v>
      </c>
      <c r="BJ71" s="1">
        <v>228</v>
      </c>
      <c r="BK71" s="1">
        <v>246</v>
      </c>
      <c r="BL71" s="1">
        <v>219</v>
      </c>
      <c r="BM71" s="1">
        <v>216</v>
      </c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>
        <v>136</v>
      </c>
      <c r="CH71" s="1">
        <v>146</v>
      </c>
      <c r="CI71" s="1">
        <v>111</v>
      </c>
      <c r="CJ71" s="1">
        <v>130</v>
      </c>
      <c r="CK71" s="1">
        <v>132</v>
      </c>
      <c r="CL71" s="1">
        <v>106</v>
      </c>
      <c r="CM71" s="1">
        <v>106</v>
      </c>
      <c r="CN71" s="1">
        <v>117</v>
      </c>
      <c r="CO71" s="1">
        <v>127</v>
      </c>
    </row>
    <row r="72" spans="1:93" ht="15.75" customHeight="1">
      <c r="A72" s="1" t="s">
        <v>105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>
        <v>50</v>
      </c>
      <c r="CH72" s="1">
        <v>60</v>
      </c>
      <c r="CI72" s="1">
        <v>50</v>
      </c>
      <c r="CJ72" s="1">
        <v>49</v>
      </c>
      <c r="CK72" s="1">
        <v>44</v>
      </c>
      <c r="CL72" s="1">
        <v>54</v>
      </c>
      <c r="CM72" s="1">
        <v>51</v>
      </c>
      <c r="CN72" s="1">
        <v>57</v>
      </c>
      <c r="CO72" s="1">
        <v>50</v>
      </c>
    </row>
    <row r="73" spans="1:93" ht="15.75" customHeight="1">
      <c r="A73" s="1" t="s">
        <v>106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>
        <v>209</v>
      </c>
      <c r="AS73" s="1">
        <v>147</v>
      </c>
      <c r="AT73" s="1">
        <v>176</v>
      </c>
      <c r="AU73" s="1">
        <v>166</v>
      </c>
      <c r="AV73" s="1">
        <v>190</v>
      </c>
      <c r="AW73" s="1">
        <v>189</v>
      </c>
      <c r="AX73" s="1">
        <v>164</v>
      </c>
      <c r="AY73" s="1">
        <v>219</v>
      </c>
      <c r="AZ73" s="1">
        <v>158</v>
      </c>
      <c r="BA73" s="1">
        <v>180</v>
      </c>
      <c r="BB73" s="1">
        <v>166</v>
      </c>
      <c r="BC73" s="1">
        <v>147</v>
      </c>
      <c r="BD73" s="1">
        <v>162</v>
      </c>
      <c r="BE73" s="1">
        <v>157</v>
      </c>
      <c r="BF73" s="1">
        <v>187</v>
      </c>
      <c r="BG73" s="1">
        <v>154</v>
      </c>
      <c r="BH73" s="1">
        <v>178</v>
      </c>
      <c r="BI73" s="1">
        <v>191</v>
      </c>
      <c r="BJ73" s="1">
        <v>152</v>
      </c>
      <c r="BK73" s="1">
        <v>183</v>
      </c>
      <c r="BL73" s="1">
        <v>188</v>
      </c>
      <c r="BM73" s="1">
        <v>195</v>
      </c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</row>
    <row r="74" spans="1:93" ht="15.75" customHeight="1">
      <c r="A74" s="1" t="s">
        <v>107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>
        <v>28</v>
      </c>
      <c r="CH74" s="1">
        <v>26</v>
      </c>
      <c r="CI74" s="1">
        <v>22</v>
      </c>
      <c r="CJ74" s="1">
        <v>19</v>
      </c>
      <c r="CK74" s="1">
        <v>30</v>
      </c>
      <c r="CL74" s="1">
        <v>25</v>
      </c>
      <c r="CM74" s="1">
        <v>28</v>
      </c>
      <c r="CN74" s="1">
        <v>30</v>
      </c>
      <c r="CO74" s="1">
        <v>28</v>
      </c>
    </row>
    <row r="75" spans="1:93" ht="15.75" customHeight="1">
      <c r="A75" s="1" t="s">
        <v>108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>
        <v>52</v>
      </c>
      <c r="CH75" s="1">
        <v>49</v>
      </c>
      <c r="CI75" s="1">
        <v>61</v>
      </c>
      <c r="CJ75" s="1">
        <v>63</v>
      </c>
      <c r="CK75" s="1">
        <v>60</v>
      </c>
      <c r="CL75" s="1">
        <v>58</v>
      </c>
      <c r="CM75" s="1">
        <v>38</v>
      </c>
      <c r="CN75" s="1">
        <v>40</v>
      </c>
      <c r="CO75" s="1">
        <v>43</v>
      </c>
    </row>
    <row r="76" spans="1:93" ht="15.75" customHeight="1">
      <c r="A76" s="1" t="s">
        <v>109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4">
        <v>28</v>
      </c>
      <c r="CH76" s="4">
        <v>26</v>
      </c>
      <c r="CI76" s="4">
        <v>22</v>
      </c>
      <c r="CJ76" s="4">
        <v>19</v>
      </c>
      <c r="CK76" s="4">
        <v>30</v>
      </c>
      <c r="CL76" s="4">
        <v>25</v>
      </c>
      <c r="CM76" s="4">
        <v>28</v>
      </c>
      <c r="CN76" s="4">
        <v>30</v>
      </c>
      <c r="CO76" s="4">
        <v>28</v>
      </c>
    </row>
    <row r="77" spans="1:9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</row>
    <row r="78" spans="1:93" ht="15.75" customHeight="1">
      <c r="A78" s="2" t="s">
        <v>113</v>
      </c>
      <c r="B78" s="1" t="s">
        <v>116</v>
      </c>
      <c r="C78" s="1" t="s">
        <v>117</v>
      </c>
      <c r="D78" s="1" t="s">
        <v>118</v>
      </c>
      <c r="E78" s="1" t="s">
        <v>119</v>
      </c>
      <c r="F78" s="1" t="s">
        <v>120</v>
      </c>
      <c r="G78" s="1" t="s">
        <v>121</v>
      </c>
      <c r="H78" s="1" t="s">
        <v>122</v>
      </c>
      <c r="I78" s="1" t="s">
        <v>123</v>
      </c>
      <c r="J78" s="1" t="s">
        <v>124</v>
      </c>
      <c r="K78" s="1" t="s">
        <v>125</v>
      </c>
      <c r="L78" s="1" t="s">
        <v>126</v>
      </c>
      <c r="M78" s="1" t="s">
        <v>127</v>
      </c>
      <c r="N78" s="1" t="s">
        <v>128</v>
      </c>
      <c r="O78" s="1" t="s">
        <v>129</v>
      </c>
      <c r="P78" s="1" t="s">
        <v>130</v>
      </c>
      <c r="Q78" s="1" t="s">
        <v>131</v>
      </c>
      <c r="R78" s="1" t="s">
        <v>132</v>
      </c>
      <c r="S78" s="1" t="s">
        <v>133</v>
      </c>
      <c r="T78" s="1" t="s">
        <v>134</v>
      </c>
      <c r="U78" s="1" t="s">
        <v>135</v>
      </c>
      <c r="V78" s="1" t="s">
        <v>136</v>
      </c>
      <c r="W78" s="1" t="s">
        <v>137</v>
      </c>
      <c r="X78" s="1" t="s">
        <v>138</v>
      </c>
      <c r="Y78" s="1" t="s">
        <v>139</v>
      </c>
      <c r="Z78" s="1" t="s">
        <v>140</v>
      </c>
      <c r="AA78" s="1" t="s">
        <v>141</v>
      </c>
      <c r="AB78" s="1" t="s">
        <v>142</v>
      </c>
      <c r="AC78" s="1" t="s">
        <v>143</v>
      </c>
      <c r="AD78" s="1" t="s">
        <v>144</v>
      </c>
      <c r="AE78" s="1" t="s">
        <v>145</v>
      </c>
      <c r="AF78" s="1" t="s">
        <v>146</v>
      </c>
      <c r="AG78" s="1" t="s">
        <v>147</v>
      </c>
      <c r="AH78" s="1" t="s">
        <v>148</v>
      </c>
      <c r="AI78" s="1" t="s">
        <v>149</v>
      </c>
      <c r="AJ78" s="1" t="s">
        <v>150</v>
      </c>
      <c r="AK78" s="1" t="s">
        <v>151</v>
      </c>
      <c r="AL78" s="1" t="s">
        <v>152</v>
      </c>
      <c r="AM78" s="1" t="s">
        <v>153</v>
      </c>
      <c r="AN78" s="1" t="s">
        <v>154</v>
      </c>
      <c r="AO78" s="1" t="s">
        <v>155</v>
      </c>
      <c r="AP78" s="1" t="s">
        <v>156</v>
      </c>
      <c r="AQ78" s="1" t="s">
        <v>157</v>
      </c>
      <c r="AR78" s="1" t="s">
        <v>158</v>
      </c>
      <c r="AS78" s="1" t="s">
        <v>159</v>
      </c>
      <c r="AT78" s="1" t="s">
        <v>160</v>
      </c>
      <c r="AU78" s="1" t="s">
        <v>161</v>
      </c>
      <c r="AV78" s="1" t="s">
        <v>162</v>
      </c>
      <c r="AW78" s="1" t="s">
        <v>163</v>
      </c>
      <c r="AX78" s="1" t="s">
        <v>164</v>
      </c>
      <c r="AY78" s="1" t="s">
        <v>165</v>
      </c>
      <c r="AZ78" s="1" t="s">
        <v>166</v>
      </c>
      <c r="BA78" s="1" t="s">
        <v>167</v>
      </c>
      <c r="BB78" s="1" t="s">
        <v>168</v>
      </c>
      <c r="BC78" s="1" t="s">
        <v>169</v>
      </c>
      <c r="BD78" s="1" t="s">
        <v>170</v>
      </c>
      <c r="BE78" s="1" t="s">
        <v>171</v>
      </c>
      <c r="BF78" s="1" t="s">
        <v>172</v>
      </c>
      <c r="BG78" s="1" t="s">
        <v>173</v>
      </c>
      <c r="BH78" s="1" t="s">
        <v>174</v>
      </c>
      <c r="BI78" s="1" t="s">
        <v>175</v>
      </c>
      <c r="BJ78" s="1" t="s">
        <v>176</v>
      </c>
      <c r="BK78" s="1" t="s">
        <v>177</v>
      </c>
      <c r="BL78" s="1" t="s">
        <v>178</v>
      </c>
      <c r="BM78" s="1" t="s">
        <v>179</v>
      </c>
      <c r="BN78" s="1" t="s">
        <v>180</v>
      </c>
      <c r="BO78" s="1" t="s">
        <v>181</v>
      </c>
      <c r="BP78" s="1" t="s">
        <v>182</v>
      </c>
      <c r="BQ78" s="1" t="s">
        <v>183</v>
      </c>
      <c r="BR78" s="1" t="s">
        <v>184</v>
      </c>
      <c r="BS78" s="1" t="s">
        <v>185</v>
      </c>
      <c r="BT78" s="1" t="s">
        <v>186</v>
      </c>
      <c r="BU78" s="1" t="s">
        <v>187</v>
      </c>
      <c r="BV78" s="1" t="s">
        <v>188</v>
      </c>
      <c r="BW78" s="1" t="s">
        <v>189</v>
      </c>
      <c r="BX78" s="1" t="s">
        <v>190</v>
      </c>
      <c r="BY78" s="1" t="s">
        <v>191</v>
      </c>
      <c r="BZ78" s="1" t="s">
        <v>192</v>
      </c>
      <c r="CA78" s="1" t="s">
        <v>193</v>
      </c>
      <c r="CB78" s="1" t="s">
        <v>194</v>
      </c>
      <c r="CC78" s="1" t="s">
        <v>195</v>
      </c>
      <c r="CD78" s="1" t="s">
        <v>196</v>
      </c>
      <c r="CE78" s="1" t="s">
        <v>197</v>
      </c>
      <c r="CF78" s="1" t="s">
        <v>198</v>
      </c>
      <c r="CG78" s="1" t="s">
        <v>199</v>
      </c>
      <c r="CH78" s="1" t="s">
        <v>200</v>
      </c>
      <c r="CI78" s="1" t="s">
        <v>201</v>
      </c>
      <c r="CJ78" s="1" t="s">
        <v>202</v>
      </c>
      <c r="CK78" s="1" t="s">
        <v>203</v>
      </c>
      <c r="CL78" s="1" t="s">
        <v>204</v>
      </c>
      <c r="CM78" s="1" t="s">
        <v>205</v>
      </c>
      <c r="CN78" s="1" t="s">
        <v>206</v>
      </c>
      <c r="CO78" s="1" t="s">
        <v>209</v>
      </c>
    </row>
    <row r="79" spans="1:93" ht="15.75" customHeight="1">
      <c r="A79" s="3" t="s">
        <v>1</v>
      </c>
      <c r="B79" s="3" t="s">
        <v>2</v>
      </c>
      <c r="C79" s="3" t="s">
        <v>3</v>
      </c>
      <c r="D79" s="3" t="s">
        <v>4</v>
      </c>
      <c r="E79" s="3" t="s">
        <v>5</v>
      </c>
      <c r="F79" s="3" t="s">
        <v>6</v>
      </c>
      <c r="G79" s="3" t="s">
        <v>7</v>
      </c>
      <c r="H79" s="3" t="s">
        <v>8</v>
      </c>
      <c r="I79" s="3" t="s">
        <v>9</v>
      </c>
      <c r="J79" s="3" t="s">
        <v>10</v>
      </c>
      <c r="K79" s="3" t="s">
        <v>11</v>
      </c>
      <c r="L79" s="3" t="s">
        <v>12</v>
      </c>
      <c r="M79" s="3" t="s">
        <v>13</v>
      </c>
      <c r="N79" s="3" t="s">
        <v>14</v>
      </c>
      <c r="O79" s="3" t="s">
        <v>15</v>
      </c>
      <c r="P79" s="3" t="s">
        <v>16</v>
      </c>
      <c r="Q79" s="3" t="s">
        <v>17</v>
      </c>
      <c r="R79" s="3" t="s">
        <v>18</v>
      </c>
      <c r="S79" s="3" t="s">
        <v>19</v>
      </c>
      <c r="T79" s="3" t="s">
        <v>20</v>
      </c>
      <c r="U79" s="3" t="s">
        <v>21</v>
      </c>
      <c r="V79" s="3" t="s">
        <v>22</v>
      </c>
      <c r="W79" s="3" t="s">
        <v>23</v>
      </c>
      <c r="X79" s="3" t="s">
        <v>24</v>
      </c>
      <c r="Y79" s="3" t="s">
        <v>25</v>
      </c>
      <c r="Z79" s="3" t="s">
        <v>26</v>
      </c>
      <c r="AA79" s="3" t="s">
        <v>27</v>
      </c>
      <c r="AB79" s="3" t="s">
        <v>28</v>
      </c>
      <c r="AC79" s="3" t="s">
        <v>29</v>
      </c>
      <c r="AD79" s="3" t="s">
        <v>30</v>
      </c>
      <c r="AE79" s="3" t="s">
        <v>31</v>
      </c>
      <c r="AF79" s="3" t="s">
        <v>32</v>
      </c>
      <c r="AG79" s="3" t="s">
        <v>33</v>
      </c>
      <c r="AH79" s="3" t="s">
        <v>34</v>
      </c>
      <c r="AI79" s="3" t="s">
        <v>35</v>
      </c>
      <c r="AJ79" s="3" t="s">
        <v>36</v>
      </c>
      <c r="AK79" s="3" t="s">
        <v>37</v>
      </c>
      <c r="AL79" s="3" t="s">
        <v>38</v>
      </c>
      <c r="AM79" s="3" t="s">
        <v>39</v>
      </c>
      <c r="AN79" s="3" t="s">
        <v>40</v>
      </c>
      <c r="AO79" s="3" t="s">
        <v>41</v>
      </c>
      <c r="AP79" s="3" t="s">
        <v>42</v>
      </c>
      <c r="AQ79" s="3" t="s">
        <v>43</v>
      </c>
      <c r="AR79" s="3" t="s">
        <v>44</v>
      </c>
      <c r="AS79" s="3" t="s">
        <v>45</v>
      </c>
      <c r="AT79" s="3" t="s">
        <v>46</v>
      </c>
      <c r="AU79" s="3" t="s">
        <v>47</v>
      </c>
      <c r="AV79" s="3" t="s">
        <v>48</v>
      </c>
      <c r="AW79" s="3" t="s">
        <v>49</v>
      </c>
      <c r="AX79" s="3" t="s">
        <v>50</v>
      </c>
      <c r="AY79" s="3" t="s">
        <v>51</v>
      </c>
      <c r="AZ79" s="3" t="s">
        <v>52</v>
      </c>
      <c r="BA79" s="3" t="s">
        <v>53</v>
      </c>
      <c r="BB79" s="3" t="s">
        <v>54</v>
      </c>
      <c r="BC79" s="3" t="s">
        <v>55</v>
      </c>
      <c r="BD79" s="3" t="s">
        <v>56</v>
      </c>
      <c r="BE79" s="3" t="s">
        <v>57</v>
      </c>
      <c r="BF79" s="3" t="s">
        <v>58</v>
      </c>
      <c r="BG79" s="3" t="s">
        <v>59</v>
      </c>
      <c r="BH79" s="3" t="s">
        <v>60</v>
      </c>
      <c r="BI79" s="3" t="s">
        <v>61</v>
      </c>
      <c r="BJ79" s="3" t="s">
        <v>62</v>
      </c>
      <c r="BK79" s="3" t="s">
        <v>63</v>
      </c>
      <c r="BL79" s="3" t="s">
        <v>64</v>
      </c>
      <c r="BM79" s="3" t="s">
        <v>65</v>
      </c>
      <c r="BN79" s="3" t="s">
        <v>66</v>
      </c>
      <c r="BO79" s="3" t="s">
        <v>67</v>
      </c>
      <c r="BP79" s="3" t="s">
        <v>68</v>
      </c>
      <c r="BQ79" s="3" t="s">
        <v>69</v>
      </c>
      <c r="BR79" s="3" t="s">
        <v>70</v>
      </c>
      <c r="BS79" s="3" t="s">
        <v>71</v>
      </c>
      <c r="BT79" s="3" t="s">
        <v>72</v>
      </c>
      <c r="BU79" s="3" t="s">
        <v>73</v>
      </c>
      <c r="BV79" s="3" t="s">
        <v>74</v>
      </c>
      <c r="BW79" s="3" t="s">
        <v>75</v>
      </c>
      <c r="BX79" s="3" t="s">
        <v>76</v>
      </c>
      <c r="BY79" s="3" t="s">
        <v>77</v>
      </c>
      <c r="BZ79" s="3" t="s">
        <v>78</v>
      </c>
      <c r="CA79" s="3" t="s">
        <v>79</v>
      </c>
      <c r="CB79" s="3" t="s">
        <v>80</v>
      </c>
      <c r="CC79" s="3" t="s">
        <v>81</v>
      </c>
      <c r="CD79" s="3" t="s">
        <v>82</v>
      </c>
      <c r="CE79" s="3" t="s">
        <v>83</v>
      </c>
      <c r="CF79" s="3" t="s">
        <v>84</v>
      </c>
      <c r="CG79" s="3" t="s">
        <v>85</v>
      </c>
      <c r="CH79" s="3" t="s">
        <v>86</v>
      </c>
      <c r="CI79" s="3" t="s">
        <v>87</v>
      </c>
      <c r="CJ79" s="3" t="s">
        <v>88</v>
      </c>
      <c r="CK79" s="3" t="s">
        <v>89</v>
      </c>
      <c r="CL79" s="3" t="s">
        <v>90</v>
      </c>
      <c r="CM79" s="3" t="s">
        <v>91</v>
      </c>
      <c r="CN79" s="3" t="s">
        <v>92</v>
      </c>
      <c r="CO79" s="3" t="s">
        <v>93</v>
      </c>
    </row>
    <row r="80" spans="1:93" ht="15.75" customHeight="1">
      <c r="A80" s="1" t="s">
        <v>94</v>
      </c>
      <c r="B80" s="4">
        <v>240</v>
      </c>
      <c r="C80" s="4">
        <v>285</v>
      </c>
      <c r="D80" s="4">
        <v>205</v>
      </c>
      <c r="E80" s="4">
        <v>257</v>
      </c>
      <c r="F80" s="4">
        <v>218</v>
      </c>
      <c r="G80" s="4">
        <v>188</v>
      </c>
      <c r="H80" s="4">
        <v>247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4">
        <v>240</v>
      </c>
      <c r="W80" s="4">
        <v>285</v>
      </c>
      <c r="X80" s="4">
        <v>205</v>
      </c>
      <c r="Y80" s="4">
        <v>257</v>
      </c>
      <c r="Z80" s="4">
        <v>218</v>
      </c>
      <c r="AA80" s="4">
        <v>188</v>
      </c>
      <c r="AB80" s="4">
        <v>247</v>
      </c>
      <c r="AC80" s="1"/>
      <c r="AD80" s="1"/>
      <c r="AE80" s="1"/>
      <c r="AF80" s="1"/>
      <c r="AG80" s="4">
        <v>174</v>
      </c>
      <c r="AH80" s="4">
        <v>208</v>
      </c>
      <c r="AI80" s="4">
        <v>202</v>
      </c>
      <c r="AJ80" s="4">
        <v>201</v>
      </c>
      <c r="AK80" s="4">
        <v>198</v>
      </c>
      <c r="AL80" s="4">
        <v>211</v>
      </c>
      <c r="AM80" s="4">
        <v>188</v>
      </c>
      <c r="AN80" s="4">
        <v>239</v>
      </c>
      <c r="AO80" s="4">
        <v>169</v>
      </c>
      <c r="AP80" s="4">
        <v>213</v>
      </c>
      <c r="AQ80" s="4">
        <v>200</v>
      </c>
      <c r="AR80" s="4">
        <v>188</v>
      </c>
      <c r="AS80" s="4">
        <v>196</v>
      </c>
      <c r="AT80" s="4">
        <v>220</v>
      </c>
      <c r="AU80" s="4">
        <v>222</v>
      </c>
      <c r="AV80" s="4">
        <v>169</v>
      </c>
      <c r="AW80" s="4">
        <v>177</v>
      </c>
      <c r="AX80" s="4">
        <v>186</v>
      </c>
      <c r="AY80" s="4">
        <v>213</v>
      </c>
      <c r="AZ80" s="4">
        <v>208</v>
      </c>
      <c r="BA80" s="4">
        <v>216</v>
      </c>
      <c r="BB80" s="4">
        <v>225</v>
      </c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>
        <v>1</v>
      </c>
      <c r="CC80" s="1"/>
      <c r="CD80" s="1">
        <v>1</v>
      </c>
      <c r="CE80" s="1">
        <v>2</v>
      </c>
      <c r="CF80" s="1">
        <v>6</v>
      </c>
      <c r="CG80" s="1">
        <v>6</v>
      </c>
      <c r="CH80" s="1">
        <v>3</v>
      </c>
      <c r="CI80" s="1">
        <v>15</v>
      </c>
      <c r="CJ80" s="1">
        <v>6</v>
      </c>
      <c r="CK80" s="1"/>
      <c r="CL80" s="1"/>
      <c r="CM80" s="1"/>
      <c r="CN80" s="1"/>
      <c r="CO80" s="1"/>
    </row>
    <row r="81" spans="1:93" ht="15.75" customHeight="1">
      <c r="A81" s="1" t="s">
        <v>95</v>
      </c>
      <c r="B81" s="1">
        <v>282</v>
      </c>
      <c r="C81" s="1">
        <v>286</v>
      </c>
      <c r="D81" s="1">
        <v>276</v>
      </c>
      <c r="E81" s="1">
        <v>279</v>
      </c>
      <c r="F81" s="1">
        <v>278</v>
      </c>
      <c r="G81" s="1">
        <v>260</v>
      </c>
      <c r="H81" s="1">
        <v>300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>
        <v>282</v>
      </c>
      <c r="W81" s="1">
        <v>286</v>
      </c>
      <c r="X81" s="1">
        <v>276</v>
      </c>
      <c r="Y81" s="1">
        <v>279</v>
      </c>
      <c r="Z81" s="1">
        <v>278</v>
      </c>
      <c r="AA81" s="1">
        <v>260</v>
      </c>
      <c r="AB81" s="1">
        <v>300</v>
      </c>
      <c r="AC81" s="1"/>
      <c r="AD81" s="1"/>
      <c r="AE81" s="1"/>
      <c r="AF81" s="1"/>
      <c r="AG81" s="1">
        <v>239</v>
      </c>
      <c r="AH81" s="1">
        <v>285</v>
      </c>
      <c r="AI81" s="1">
        <v>267</v>
      </c>
      <c r="AJ81" s="1">
        <v>281</v>
      </c>
      <c r="AK81" s="1">
        <v>269</v>
      </c>
      <c r="AL81" s="1">
        <v>303</v>
      </c>
      <c r="AM81" s="1">
        <v>303</v>
      </c>
      <c r="AN81" s="1">
        <v>315</v>
      </c>
      <c r="AO81" s="1">
        <v>269</v>
      </c>
      <c r="AP81" s="1">
        <v>231</v>
      </c>
      <c r="AQ81" s="1">
        <v>285</v>
      </c>
      <c r="AR81" s="1">
        <v>285</v>
      </c>
      <c r="AS81" s="1">
        <v>312</v>
      </c>
      <c r="AT81" s="1">
        <v>308</v>
      </c>
      <c r="AU81" s="1">
        <v>313</v>
      </c>
      <c r="AV81" s="1">
        <v>265</v>
      </c>
      <c r="AW81" s="1">
        <v>299</v>
      </c>
      <c r="AX81" s="1">
        <v>284</v>
      </c>
      <c r="AY81" s="1">
        <v>282</v>
      </c>
      <c r="AZ81" s="1">
        <v>298</v>
      </c>
      <c r="BA81" s="1">
        <v>316</v>
      </c>
      <c r="BB81" s="1">
        <v>329</v>
      </c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>
        <v>79</v>
      </c>
      <c r="CC81" s="1">
        <v>93</v>
      </c>
      <c r="CD81" s="1">
        <v>89</v>
      </c>
      <c r="CE81" s="1">
        <v>103</v>
      </c>
      <c r="CF81" s="1">
        <v>82</v>
      </c>
      <c r="CG81" s="1">
        <v>114</v>
      </c>
      <c r="CH81" s="1">
        <v>97</v>
      </c>
      <c r="CI81" s="1">
        <v>98</v>
      </c>
      <c r="CJ81" s="1">
        <v>109</v>
      </c>
      <c r="CK81" s="1"/>
      <c r="CL81" s="1"/>
      <c r="CM81" s="1"/>
      <c r="CN81" s="1"/>
      <c r="CO81" s="1"/>
    </row>
    <row r="82" spans="1:93" ht="15.75" customHeight="1">
      <c r="A82" s="1" t="s">
        <v>96</v>
      </c>
      <c r="B82" s="1">
        <v>544</v>
      </c>
      <c r="C82" s="1">
        <v>491</v>
      </c>
      <c r="D82" s="1">
        <v>532</v>
      </c>
      <c r="E82" s="1">
        <v>562</v>
      </c>
      <c r="F82" s="1">
        <v>495</v>
      </c>
      <c r="G82" s="1">
        <v>512</v>
      </c>
      <c r="H82" s="1">
        <v>540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>
        <v>544</v>
      </c>
      <c r="W82" s="1">
        <v>491</v>
      </c>
      <c r="X82" s="1">
        <v>532</v>
      </c>
      <c r="Y82" s="1">
        <v>562</v>
      </c>
      <c r="Z82" s="1">
        <v>495</v>
      </c>
      <c r="AA82" s="1">
        <v>512</v>
      </c>
      <c r="AB82" s="1">
        <v>540</v>
      </c>
      <c r="AC82" s="1"/>
      <c r="AD82" s="1"/>
      <c r="AE82" s="1"/>
      <c r="AF82" s="1"/>
      <c r="AG82" s="1">
        <v>471</v>
      </c>
      <c r="AH82" s="1">
        <v>541</v>
      </c>
      <c r="AI82" s="1">
        <v>475</v>
      </c>
      <c r="AJ82" s="1">
        <v>536</v>
      </c>
      <c r="AK82" s="1">
        <v>467</v>
      </c>
      <c r="AL82" s="1">
        <v>521</v>
      </c>
      <c r="AM82" s="1">
        <v>493</v>
      </c>
      <c r="AN82" s="1">
        <v>568</v>
      </c>
      <c r="AO82" s="1">
        <v>501</v>
      </c>
      <c r="AP82" s="1">
        <v>572</v>
      </c>
      <c r="AQ82" s="1">
        <v>540</v>
      </c>
      <c r="AR82" s="1">
        <v>478</v>
      </c>
      <c r="AS82" s="1">
        <v>589</v>
      </c>
      <c r="AT82" s="1">
        <v>485</v>
      </c>
      <c r="AU82" s="1">
        <v>552</v>
      </c>
      <c r="AV82" s="1">
        <v>469</v>
      </c>
      <c r="AW82" s="1">
        <v>531</v>
      </c>
      <c r="AX82" s="1">
        <v>468</v>
      </c>
      <c r="AY82" s="1">
        <v>531</v>
      </c>
      <c r="AZ82" s="1">
        <v>543</v>
      </c>
      <c r="BA82" s="1">
        <v>538</v>
      </c>
      <c r="BB82" s="1">
        <v>578</v>
      </c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>
        <v>133</v>
      </c>
      <c r="CC82" s="1">
        <v>149</v>
      </c>
      <c r="CD82" s="1">
        <v>141</v>
      </c>
      <c r="CE82" s="1">
        <v>134</v>
      </c>
      <c r="CF82" s="1">
        <v>165</v>
      </c>
      <c r="CG82" s="1">
        <v>175</v>
      </c>
      <c r="CH82" s="1">
        <v>151</v>
      </c>
      <c r="CI82" s="1">
        <v>132</v>
      </c>
      <c r="CJ82" s="1">
        <v>133</v>
      </c>
      <c r="CK82" s="1"/>
      <c r="CL82" s="1"/>
      <c r="CM82" s="1"/>
      <c r="CN82" s="1"/>
      <c r="CO82" s="1"/>
    </row>
    <row r="83" spans="1:93" ht="15.75" customHeight="1">
      <c r="A83" s="1" t="s">
        <v>97</v>
      </c>
      <c r="B83" s="1">
        <v>80</v>
      </c>
      <c r="C83" s="1">
        <v>72</v>
      </c>
      <c r="D83" s="1">
        <v>121</v>
      </c>
      <c r="E83" s="1">
        <v>108</v>
      </c>
      <c r="F83" s="1">
        <v>152</v>
      </c>
      <c r="G83" s="1">
        <v>154</v>
      </c>
      <c r="H83" s="1">
        <v>208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>
        <v>80</v>
      </c>
      <c r="W83" s="1">
        <v>72</v>
      </c>
      <c r="X83" s="1">
        <v>121</v>
      </c>
      <c r="Y83" s="1">
        <v>108</v>
      </c>
      <c r="Z83" s="1">
        <v>152</v>
      </c>
      <c r="AA83" s="1">
        <v>154</v>
      </c>
      <c r="AB83" s="1">
        <v>208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</row>
    <row r="84" spans="1:93" ht="15.75" customHeight="1">
      <c r="A84" s="1" t="s">
        <v>98</v>
      </c>
      <c r="B84" s="1">
        <v>56</v>
      </c>
      <c r="C84" s="1">
        <v>59</v>
      </c>
      <c r="D84" s="1">
        <v>59</v>
      </c>
      <c r="E84" s="1">
        <v>74</v>
      </c>
      <c r="F84" s="1">
        <v>112</v>
      </c>
      <c r="G84" s="1">
        <v>119</v>
      </c>
      <c r="H84" s="1">
        <v>147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>
        <v>56</v>
      </c>
      <c r="W84" s="1">
        <v>59</v>
      </c>
      <c r="X84" s="1">
        <v>59</v>
      </c>
      <c r="Y84" s="1">
        <v>74</v>
      </c>
      <c r="Z84" s="1">
        <v>112</v>
      </c>
      <c r="AA84" s="1">
        <v>119</v>
      </c>
      <c r="AB84" s="1">
        <v>147</v>
      </c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</row>
    <row r="85" spans="1:93" ht="15.75" customHeight="1">
      <c r="A85" s="1" t="s">
        <v>99</v>
      </c>
      <c r="B85" s="1">
        <v>192</v>
      </c>
      <c r="C85" s="1">
        <v>203</v>
      </c>
      <c r="D85" s="1">
        <v>223</v>
      </c>
      <c r="E85" s="1">
        <v>230</v>
      </c>
      <c r="F85" s="1">
        <v>202</v>
      </c>
      <c r="G85" s="1">
        <v>239</v>
      </c>
      <c r="H85" s="1">
        <v>278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>
        <v>192</v>
      </c>
      <c r="W85" s="1">
        <v>203</v>
      </c>
      <c r="X85" s="1">
        <v>223</v>
      </c>
      <c r="Y85" s="1">
        <v>230</v>
      </c>
      <c r="Z85" s="1">
        <v>202</v>
      </c>
      <c r="AA85" s="1">
        <v>239</v>
      </c>
      <c r="AB85" s="1">
        <v>278</v>
      </c>
      <c r="AC85" s="1"/>
      <c r="AD85" s="1"/>
      <c r="AE85" s="1"/>
      <c r="AF85" s="1"/>
      <c r="AG85" s="1">
        <v>245</v>
      </c>
      <c r="AH85" s="1">
        <v>238</v>
      </c>
      <c r="AI85" s="1">
        <v>269</v>
      </c>
      <c r="AJ85" s="1">
        <v>271</v>
      </c>
      <c r="AK85" s="1">
        <v>170</v>
      </c>
      <c r="AL85" s="1">
        <v>205</v>
      </c>
      <c r="AM85" s="1">
        <v>200</v>
      </c>
      <c r="AN85" s="1">
        <v>239</v>
      </c>
      <c r="AO85" s="1">
        <v>205</v>
      </c>
      <c r="AP85" s="1">
        <v>289</v>
      </c>
      <c r="AQ85" s="1">
        <v>289</v>
      </c>
      <c r="AR85" s="1">
        <v>205</v>
      </c>
      <c r="AS85" s="1">
        <v>213</v>
      </c>
      <c r="AT85" s="1">
        <v>190</v>
      </c>
      <c r="AU85" s="1">
        <v>236</v>
      </c>
      <c r="AV85" s="1">
        <v>225</v>
      </c>
      <c r="AW85" s="1">
        <v>259</v>
      </c>
      <c r="AX85" s="1">
        <v>277</v>
      </c>
      <c r="AY85" s="1">
        <v>202</v>
      </c>
      <c r="AZ85" s="1">
        <v>185</v>
      </c>
      <c r="BA85" s="1">
        <v>164</v>
      </c>
      <c r="BB85" s="1">
        <v>187</v>
      </c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>
        <v>97</v>
      </c>
      <c r="CC85" s="1">
        <v>77</v>
      </c>
      <c r="CD85" s="1">
        <v>84</v>
      </c>
      <c r="CE85" s="1">
        <v>81</v>
      </c>
      <c r="CF85" s="1">
        <v>62</v>
      </c>
      <c r="CG85" s="1">
        <v>79</v>
      </c>
      <c r="CH85" s="1">
        <v>77</v>
      </c>
      <c r="CI85" s="1">
        <v>89</v>
      </c>
      <c r="CJ85" s="1">
        <v>70</v>
      </c>
      <c r="CK85" s="1"/>
      <c r="CL85" s="1"/>
      <c r="CM85" s="1"/>
      <c r="CN85" s="1"/>
      <c r="CO85" s="1"/>
    </row>
    <row r="86" spans="1:93" ht="15.75" customHeight="1">
      <c r="A86" s="1" t="s">
        <v>100</v>
      </c>
      <c r="B86" s="1">
        <v>171</v>
      </c>
      <c r="C86" s="1">
        <v>164</v>
      </c>
      <c r="D86" s="1">
        <v>212</v>
      </c>
      <c r="E86" s="1">
        <v>238</v>
      </c>
      <c r="F86" s="1">
        <v>197</v>
      </c>
      <c r="G86" s="1">
        <v>278</v>
      </c>
      <c r="H86" s="1">
        <v>291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>
        <v>171</v>
      </c>
      <c r="W86" s="1">
        <v>164</v>
      </c>
      <c r="X86" s="1">
        <v>212</v>
      </c>
      <c r="Y86" s="1">
        <v>238</v>
      </c>
      <c r="Z86" s="1">
        <v>197</v>
      </c>
      <c r="AA86" s="1">
        <v>278</v>
      </c>
      <c r="AB86" s="1">
        <v>291</v>
      </c>
      <c r="AC86" s="1"/>
      <c r="AD86" s="1"/>
      <c r="AE86" s="1"/>
      <c r="AF86" s="1"/>
      <c r="AG86" s="1">
        <v>180</v>
      </c>
      <c r="AH86" s="1">
        <v>234</v>
      </c>
      <c r="AI86" s="1">
        <v>260</v>
      </c>
      <c r="AJ86" s="1">
        <v>265</v>
      </c>
      <c r="AK86" s="1">
        <v>189</v>
      </c>
      <c r="AL86" s="1">
        <v>183</v>
      </c>
      <c r="AM86" s="1">
        <v>176</v>
      </c>
      <c r="AN86" s="1">
        <v>179</v>
      </c>
      <c r="AO86" s="1">
        <v>193</v>
      </c>
      <c r="AP86" s="1">
        <v>250</v>
      </c>
      <c r="AQ86" s="1">
        <v>227</v>
      </c>
      <c r="AR86" s="1">
        <v>175</v>
      </c>
      <c r="AS86" s="1">
        <v>209</v>
      </c>
      <c r="AT86" s="1">
        <v>142</v>
      </c>
      <c r="AU86" s="1">
        <v>182</v>
      </c>
      <c r="AV86" s="1">
        <v>198</v>
      </c>
      <c r="AW86" s="1">
        <v>224</v>
      </c>
      <c r="AX86" s="1">
        <v>242</v>
      </c>
      <c r="AY86" s="1">
        <v>182</v>
      </c>
      <c r="AZ86" s="1">
        <v>133</v>
      </c>
      <c r="BA86" s="1">
        <v>156</v>
      </c>
      <c r="BB86" s="1">
        <v>186</v>
      </c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>
        <v>71</v>
      </c>
      <c r="CC86" s="1">
        <v>71</v>
      </c>
      <c r="CD86" s="1">
        <v>56</v>
      </c>
      <c r="CE86" s="1">
        <v>53</v>
      </c>
      <c r="CF86" s="1">
        <v>66</v>
      </c>
      <c r="CG86" s="1">
        <v>69</v>
      </c>
      <c r="CH86" s="1">
        <v>63</v>
      </c>
      <c r="CI86" s="1">
        <v>72</v>
      </c>
      <c r="CJ86" s="1">
        <v>57</v>
      </c>
      <c r="CK86" s="1"/>
      <c r="CL86" s="1"/>
      <c r="CM86" s="1"/>
      <c r="CN86" s="1"/>
      <c r="CO86" s="1"/>
    </row>
    <row r="87" spans="1:93" ht="15.75" customHeight="1">
      <c r="A87" s="1" t="s">
        <v>101</v>
      </c>
      <c r="B87" s="4">
        <v>120</v>
      </c>
      <c r="C87" s="4">
        <v>141</v>
      </c>
      <c r="D87" s="4">
        <v>158</v>
      </c>
      <c r="E87" s="4">
        <v>134</v>
      </c>
      <c r="F87" s="4">
        <v>144</v>
      </c>
      <c r="G87" s="4">
        <v>183</v>
      </c>
      <c r="H87" s="4">
        <v>156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4">
        <v>120</v>
      </c>
      <c r="W87" s="4">
        <v>141</v>
      </c>
      <c r="X87" s="4">
        <v>158</v>
      </c>
      <c r="Y87" s="4">
        <v>134</v>
      </c>
      <c r="Z87" s="4">
        <v>144</v>
      </c>
      <c r="AA87" s="4">
        <v>183</v>
      </c>
      <c r="AB87" s="4">
        <v>156</v>
      </c>
      <c r="AC87" s="1"/>
      <c r="AD87" s="1"/>
      <c r="AE87" s="1"/>
      <c r="AF87" s="1"/>
      <c r="AG87" s="4">
        <v>86</v>
      </c>
      <c r="AH87" s="4">
        <v>94</v>
      </c>
      <c r="AI87" s="4">
        <v>99</v>
      </c>
      <c r="AJ87" s="4">
        <v>121</v>
      </c>
      <c r="AK87" s="4">
        <v>108</v>
      </c>
      <c r="AL87" s="4">
        <v>102</v>
      </c>
      <c r="AM87" s="4">
        <v>96</v>
      </c>
      <c r="AN87" s="4">
        <v>121</v>
      </c>
      <c r="AO87" s="4">
        <v>104</v>
      </c>
      <c r="AP87" s="4">
        <v>109</v>
      </c>
      <c r="AQ87" s="4">
        <v>119</v>
      </c>
      <c r="AR87" s="4">
        <v>96</v>
      </c>
      <c r="AS87" s="4">
        <v>96</v>
      </c>
      <c r="AT87" s="4">
        <v>96</v>
      </c>
      <c r="AU87" s="4">
        <v>96</v>
      </c>
      <c r="AV87" s="4">
        <v>95</v>
      </c>
      <c r="AW87" s="4">
        <v>112</v>
      </c>
      <c r="AX87" s="4">
        <v>110</v>
      </c>
      <c r="AY87" s="4">
        <v>107</v>
      </c>
      <c r="AZ87" s="4">
        <v>111</v>
      </c>
      <c r="BA87" s="4">
        <v>90</v>
      </c>
      <c r="BB87" s="4">
        <v>110</v>
      </c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>
        <v>46</v>
      </c>
      <c r="CC87" s="1">
        <v>47</v>
      </c>
      <c r="CD87" s="1">
        <v>31</v>
      </c>
      <c r="CE87" s="1">
        <v>37</v>
      </c>
      <c r="CF87" s="1">
        <v>40</v>
      </c>
      <c r="CG87" s="1">
        <v>21</v>
      </c>
      <c r="CH87" s="1">
        <v>22</v>
      </c>
      <c r="CI87" s="1">
        <v>44</v>
      </c>
      <c r="CJ87" s="1">
        <v>37</v>
      </c>
      <c r="CK87" s="1"/>
      <c r="CL87" s="1"/>
      <c r="CM87" s="1"/>
      <c r="CN87" s="1"/>
      <c r="CO87" s="1"/>
    </row>
    <row r="88" spans="1:93" ht="15.75" customHeight="1">
      <c r="A88" s="1" t="s">
        <v>102</v>
      </c>
      <c r="B88" s="1">
        <v>148</v>
      </c>
      <c r="C88" s="1">
        <v>171</v>
      </c>
      <c r="D88" s="1">
        <v>175</v>
      </c>
      <c r="E88" s="1">
        <v>174</v>
      </c>
      <c r="F88" s="1">
        <v>171</v>
      </c>
      <c r="G88" s="1">
        <v>181</v>
      </c>
      <c r="H88" s="1">
        <v>230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>
        <v>148</v>
      </c>
      <c r="W88" s="1">
        <v>171</v>
      </c>
      <c r="X88" s="1">
        <v>175</v>
      </c>
      <c r="Y88" s="1">
        <v>174</v>
      </c>
      <c r="Z88" s="1">
        <v>171</v>
      </c>
      <c r="AA88" s="1">
        <v>181</v>
      </c>
      <c r="AB88" s="1">
        <v>230</v>
      </c>
      <c r="AC88" s="1"/>
      <c r="AD88" s="1"/>
      <c r="AE88" s="1"/>
      <c r="AF88" s="1"/>
      <c r="AG88" s="1">
        <v>207</v>
      </c>
      <c r="AH88" s="1">
        <v>196</v>
      </c>
      <c r="AI88" s="1">
        <v>228</v>
      </c>
      <c r="AJ88" s="1">
        <v>255</v>
      </c>
      <c r="AK88" s="1">
        <v>200</v>
      </c>
      <c r="AL88" s="1">
        <v>207</v>
      </c>
      <c r="AM88" s="1">
        <v>204</v>
      </c>
      <c r="AN88" s="1">
        <v>271</v>
      </c>
      <c r="AO88" s="1">
        <v>212</v>
      </c>
      <c r="AP88" s="1">
        <v>242</v>
      </c>
      <c r="AQ88" s="1">
        <v>265</v>
      </c>
      <c r="AR88" s="1">
        <v>215</v>
      </c>
      <c r="AS88" s="1">
        <v>194</v>
      </c>
      <c r="AT88" s="1">
        <v>227</v>
      </c>
      <c r="AU88" s="1">
        <v>214</v>
      </c>
      <c r="AV88" s="1">
        <v>202</v>
      </c>
      <c r="AW88" s="1">
        <v>225</v>
      </c>
      <c r="AX88" s="1">
        <v>281</v>
      </c>
      <c r="AY88" s="1">
        <v>223</v>
      </c>
      <c r="AZ88" s="1">
        <v>227</v>
      </c>
      <c r="BA88" s="1">
        <v>192</v>
      </c>
      <c r="BB88" s="1">
        <v>235</v>
      </c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>
        <v>215</v>
      </c>
      <c r="CC88" s="1">
        <v>237</v>
      </c>
      <c r="CD88" s="1">
        <v>189</v>
      </c>
      <c r="CE88" s="1">
        <v>172</v>
      </c>
      <c r="CF88" s="1">
        <v>203</v>
      </c>
      <c r="CG88" s="1">
        <v>167</v>
      </c>
      <c r="CH88" s="1">
        <v>185</v>
      </c>
      <c r="CI88" s="1">
        <v>164</v>
      </c>
      <c r="CJ88" s="1">
        <v>177</v>
      </c>
      <c r="CK88" s="1"/>
      <c r="CL88" s="1"/>
      <c r="CM88" s="1"/>
      <c r="CN88" s="1"/>
      <c r="CO88" s="1"/>
    </row>
    <row r="89" spans="1:93" ht="15.75" customHeight="1">
      <c r="A89" s="1" t="s">
        <v>103</v>
      </c>
      <c r="B89" s="1">
        <v>134</v>
      </c>
      <c r="C89" s="1">
        <v>148</v>
      </c>
      <c r="D89" s="1">
        <v>126</v>
      </c>
      <c r="E89" s="1">
        <v>130</v>
      </c>
      <c r="F89" s="1">
        <v>141</v>
      </c>
      <c r="G89" s="1">
        <v>155</v>
      </c>
      <c r="H89" s="1">
        <v>140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>
        <v>134</v>
      </c>
      <c r="W89" s="1">
        <v>148</v>
      </c>
      <c r="X89" s="1">
        <v>126</v>
      </c>
      <c r="Y89" s="1">
        <v>130</v>
      </c>
      <c r="Z89" s="1">
        <v>141</v>
      </c>
      <c r="AA89" s="1">
        <v>155</v>
      </c>
      <c r="AB89" s="1">
        <v>140</v>
      </c>
      <c r="AC89" s="1"/>
      <c r="AD89" s="1"/>
      <c r="AE89" s="1"/>
      <c r="AF89" s="1"/>
      <c r="AG89" s="1">
        <v>110</v>
      </c>
      <c r="AH89" s="1">
        <v>83</v>
      </c>
      <c r="AI89" s="1">
        <v>120</v>
      </c>
      <c r="AJ89" s="1">
        <v>126</v>
      </c>
      <c r="AK89" s="1">
        <v>98</v>
      </c>
      <c r="AL89" s="1">
        <v>86</v>
      </c>
      <c r="AM89" s="1">
        <v>98</v>
      </c>
      <c r="AN89" s="1">
        <v>102</v>
      </c>
      <c r="AO89" s="1">
        <v>112</v>
      </c>
      <c r="AP89" s="1">
        <v>77</v>
      </c>
      <c r="AQ89" s="1">
        <v>105</v>
      </c>
      <c r="AR89" s="1">
        <v>110</v>
      </c>
      <c r="AS89" s="1">
        <v>86</v>
      </c>
      <c r="AT89" s="1">
        <v>96</v>
      </c>
      <c r="AU89" s="1">
        <v>99</v>
      </c>
      <c r="AV89" s="1">
        <v>86</v>
      </c>
      <c r="AW89" s="1">
        <v>97</v>
      </c>
      <c r="AX89" s="1">
        <v>109</v>
      </c>
      <c r="AY89" s="1">
        <v>95</v>
      </c>
      <c r="AZ89" s="1">
        <v>83</v>
      </c>
      <c r="BA89" s="1">
        <v>109</v>
      </c>
      <c r="BB89" s="1">
        <v>95</v>
      </c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>
        <v>22</v>
      </c>
      <c r="CC89" s="1">
        <v>20</v>
      </c>
      <c r="CD89" s="1">
        <v>19</v>
      </c>
      <c r="CE89" s="1">
        <v>23</v>
      </c>
      <c r="CF89" s="1">
        <v>19</v>
      </c>
      <c r="CG89" s="1">
        <v>23</v>
      </c>
      <c r="CH89" s="1">
        <v>18</v>
      </c>
      <c r="CI89" s="1">
        <v>16</v>
      </c>
      <c r="CJ89" s="1">
        <v>23</v>
      </c>
      <c r="CK89" s="1"/>
      <c r="CL89" s="1"/>
      <c r="CM89" s="1"/>
      <c r="CN89" s="1"/>
      <c r="CO89" s="1"/>
    </row>
    <row r="90" spans="1:93" ht="15.75" customHeight="1">
      <c r="A90" s="1" t="s">
        <v>104</v>
      </c>
      <c r="B90" s="1">
        <v>243</v>
      </c>
      <c r="C90" s="1">
        <v>210</v>
      </c>
      <c r="D90" s="1">
        <v>222</v>
      </c>
      <c r="E90" s="1">
        <v>186</v>
      </c>
      <c r="F90" s="1">
        <v>222</v>
      </c>
      <c r="G90" s="1">
        <v>229</v>
      </c>
      <c r="H90" s="1">
        <v>325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>
        <v>243</v>
      </c>
      <c r="W90" s="1">
        <v>210</v>
      </c>
      <c r="X90" s="1">
        <v>222</v>
      </c>
      <c r="Y90" s="1">
        <v>186</v>
      </c>
      <c r="Z90" s="1">
        <v>222</v>
      </c>
      <c r="AA90" s="1">
        <v>229</v>
      </c>
      <c r="AB90" s="1">
        <v>325</v>
      </c>
      <c r="AC90" s="1"/>
      <c r="AD90" s="1"/>
      <c r="AE90" s="1"/>
      <c r="AF90" s="1"/>
      <c r="AG90" s="1">
        <v>222</v>
      </c>
      <c r="AH90" s="1">
        <v>214</v>
      </c>
      <c r="AI90" s="1">
        <v>226</v>
      </c>
      <c r="AJ90" s="1">
        <v>276</v>
      </c>
      <c r="AK90" s="1">
        <v>214</v>
      </c>
      <c r="AL90" s="1">
        <v>190</v>
      </c>
      <c r="AM90" s="1">
        <v>193</v>
      </c>
      <c r="AN90" s="1">
        <v>274</v>
      </c>
      <c r="AO90" s="1">
        <v>223</v>
      </c>
      <c r="AP90" s="1">
        <v>244</v>
      </c>
      <c r="AQ90" s="1">
        <v>247</v>
      </c>
      <c r="AR90" s="1">
        <v>229</v>
      </c>
      <c r="AS90" s="1">
        <v>239</v>
      </c>
      <c r="AT90" s="1">
        <v>213</v>
      </c>
      <c r="AU90" s="1">
        <v>245</v>
      </c>
      <c r="AV90" s="1">
        <v>210</v>
      </c>
      <c r="AW90" s="1">
        <v>254</v>
      </c>
      <c r="AX90" s="1">
        <v>234</v>
      </c>
      <c r="AY90" s="1">
        <v>228</v>
      </c>
      <c r="AZ90" s="1">
        <v>246</v>
      </c>
      <c r="BA90" s="1">
        <v>219</v>
      </c>
      <c r="BB90" s="1">
        <v>216</v>
      </c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>
        <v>136</v>
      </c>
      <c r="CC90" s="1">
        <v>146</v>
      </c>
      <c r="CD90" s="1">
        <v>111</v>
      </c>
      <c r="CE90" s="1">
        <v>130</v>
      </c>
      <c r="CF90" s="1">
        <v>132</v>
      </c>
      <c r="CG90" s="1">
        <v>106</v>
      </c>
      <c r="CH90" s="1">
        <v>106</v>
      </c>
      <c r="CI90" s="1">
        <v>117</v>
      </c>
      <c r="CJ90" s="1">
        <v>127</v>
      </c>
      <c r="CK90" s="1"/>
      <c r="CL90" s="1"/>
      <c r="CM90" s="1"/>
      <c r="CN90" s="1"/>
      <c r="CO90" s="1"/>
    </row>
    <row r="91" spans="1:93" ht="15.75" customHeight="1">
      <c r="A91" s="1" t="s">
        <v>105</v>
      </c>
      <c r="B91" s="1">
        <v>39</v>
      </c>
      <c r="C91" s="1">
        <v>41</v>
      </c>
      <c r="D91" s="1">
        <v>44</v>
      </c>
      <c r="E91" s="1">
        <v>51</v>
      </c>
      <c r="F91" s="1">
        <v>48</v>
      </c>
      <c r="G91" s="1">
        <v>54</v>
      </c>
      <c r="H91" s="1">
        <v>40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>
        <v>39</v>
      </c>
      <c r="W91" s="1">
        <v>41</v>
      </c>
      <c r="X91" s="1">
        <v>44</v>
      </c>
      <c r="Y91" s="1">
        <v>51</v>
      </c>
      <c r="Z91" s="1">
        <v>48</v>
      </c>
      <c r="AA91" s="1">
        <v>54</v>
      </c>
      <c r="AB91" s="1">
        <v>40</v>
      </c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>
        <v>50</v>
      </c>
      <c r="CC91" s="1">
        <v>60</v>
      </c>
      <c r="CD91" s="1">
        <v>50</v>
      </c>
      <c r="CE91" s="1">
        <v>49</v>
      </c>
      <c r="CF91" s="1">
        <v>44</v>
      </c>
      <c r="CG91" s="1">
        <v>54</v>
      </c>
      <c r="CH91" s="1">
        <v>51</v>
      </c>
      <c r="CI91" s="1">
        <v>57</v>
      </c>
      <c r="CJ91" s="1">
        <v>50</v>
      </c>
      <c r="CK91" s="1"/>
      <c r="CL91" s="1"/>
      <c r="CM91" s="1"/>
      <c r="CN91" s="1"/>
      <c r="CO91" s="1"/>
    </row>
    <row r="92" spans="1:93" ht="15.75" customHeight="1">
      <c r="A92" s="1" t="s">
        <v>106</v>
      </c>
      <c r="B92" s="1">
        <v>184</v>
      </c>
      <c r="C92" s="1">
        <v>202</v>
      </c>
      <c r="D92" s="1">
        <v>204</v>
      </c>
      <c r="E92" s="1">
        <v>235</v>
      </c>
      <c r="F92" s="1">
        <v>215</v>
      </c>
      <c r="G92" s="1">
        <v>193</v>
      </c>
      <c r="H92" s="1">
        <v>234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>
        <v>184</v>
      </c>
      <c r="W92" s="1">
        <v>202</v>
      </c>
      <c r="X92" s="1">
        <v>204</v>
      </c>
      <c r="Y92" s="1">
        <v>235</v>
      </c>
      <c r="Z92" s="1">
        <v>215</v>
      </c>
      <c r="AA92" s="1">
        <v>193</v>
      </c>
      <c r="AB92" s="1">
        <v>234</v>
      </c>
      <c r="AC92" s="1"/>
      <c r="AD92" s="1"/>
      <c r="AE92" s="1"/>
      <c r="AF92" s="1"/>
      <c r="AG92" s="1">
        <v>209</v>
      </c>
      <c r="AH92" s="1">
        <v>147</v>
      </c>
      <c r="AI92" s="1">
        <v>176</v>
      </c>
      <c r="AJ92" s="1">
        <v>166</v>
      </c>
      <c r="AK92" s="1">
        <v>190</v>
      </c>
      <c r="AL92" s="1">
        <v>189</v>
      </c>
      <c r="AM92" s="1">
        <v>164</v>
      </c>
      <c r="AN92" s="1">
        <v>219</v>
      </c>
      <c r="AO92" s="1">
        <v>158</v>
      </c>
      <c r="AP92" s="1">
        <v>180</v>
      </c>
      <c r="AQ92" s="1">
        <v>166</v>
      </c>
      <c r="AR92" s="1">
        <v>147</v>
      </c>
      <c r="AS92" s="1">
        <v>162</v>
      </c>
      <c r="AT92" s="1">
        <v>157</v>
      </c>
      <c r="AU92" s="1">
        <v>187</v>
      </c>
      <c r="AV92" s="1">
        <v>154</v>
      </c>
      <c r="AW92" s="1">
        <v>178</v>
      </c>
      <c r="AX92" s="1">
        <v>191</v>
      </c>
      <c r="AY92" s="1">
        <v>152</v>
      </c>
      <c r="AZ92" s="1">
        <v>183</v>
      </c>
      <c r="BA92" s="1">
        <v>188</v>
      </c>
      <c r="BB92" s="1">
        <v>195</v>
      </c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</row>
    <row r="93" spans="1:93" ht="15.75" customHeight="1">
      <c r="A93" s="1" t="s">
        <v>107</v>
      </c>
      <c r="B93" s="1">
        <v>8</v>
      </c>
      <c r="C93" s="1">
        <v>6</v>
      </c>
      <c r="D93" s="1">
        <v>6</v>
      </c>
      <c r="E93" s="1">
        <v>5</v>
      </c>
      <c r="F93" s="1">
        <v>5</v>
      </c>
      <c r="G93" s="1">
        <v>7</v>
      </c>
      <c r="H93" s="1">
        <v>6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>
        <v>8</v>
      </c>
      <c r="W93" s="1">
        <v>6</v>
      </c>
      <c r="X93" s="1">
        <v>6</v>
      </c>
      <c r="Y93" s="1">
        <v>5</v>
      </c>
      <c r="Z93" s="1">
        <v>5</v>
      </c>
      <c r="AA93" s="1">
        <v>7</v>
      </c>
      <c r="AB93" s="1">
        <v>6</v>
      </c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>
        <v>28</v>
      </c>
      <c r="CC93" s="1">
        <v>26</v>
      </c>
      <c r="CD93" s="1">
        <v>22</v>
      </c>
      <c r="CE93" s="1">
        <v>19</v>
      </c>
      <c r="CF93" s="1">
        <v>30</v>
      </c>
      <c r="CG93" s="1">
        <v>25</v>
      </c>
      <c r="CH93" s="1">
        <v>28</v>
      </c>
      <c r="CI93" s="1">
        <v>30</v>
      </c>
      <c r="CJ93" s="1">
        <v>28</v>
      </c>
      <c r="CK93" s="1"/>
      <c r="CL93" s="1"/>
      <c r="CM93" s="1"/>
      <c r="CN93" s="1"/>
      <c r="CO93" s="1"/>
    </row>
    <row r="94" spans="1:93" ht="15.75" customHeight="1">
      <c r="A94" s="1" t="s">
        <v>108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>
        <v>52</v>
      </c>
      <c r="CC94" s="1">
        <v>49</v>
      </c>
      <c r="CD94" s="1">
        <v>61</v>
      </c>
      <c r="CE94" s="1">
        <v>63</v>
      </c>
      <c r="CF94" s="1">
        <v>60</v>
      </c>
      <c r="CG94" s="1">
        <v>58</v>
      </c>
      <c r="CH94" s="1">
        <v>38</v>
      </c>
      <c r="CI94" s="1">
        <v>40</v>
      </c>
      <c r="CJ94" s="1">
        <v>43</v>
      </c>
      <c r="CK94" s="1"/>
      <c r="CL94" s="1"/>
      <c r="CM94" s="1"/>
      <c r="CN94" s="1"/>
      <c r="CO94" s="1"/>
    </row>
    <row r="95" spans="1:93" ht="15.75" customHeight="1">
      <c r="A95" s="1" t="s">
        <v>109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4">
        <v>28</v>
      </c>
      <c r="CC95" s="4">
        <v>26</v>
      </c>
      <c r="CD95" s="4">
        <v>22</v>
      </c>
      <c r="CE95" s="4">
        <v>19</v>
      </c>
      <c r="CF95" s="4">
        <v>30</v>
      </c>
      <c r="CG95" s="4">
        <v>25</v>
      </c>
      <c r="CH95" s="4">
        <v>28</v>
      </c>
      <c r="CI95" s="4">
        <v>30</v>
      </c>
      <c r="CJ95" s="4">
        <v>28</v>
      </c>
      <c r="CK95" s="1"/>
      <c r="CL95" s="1"/>
      <c r="CM95" s="1"/>
      <c r="CN95" s="1"/>
      <c r="CO95" s="1"/>
    </row>
    <row r="96" spans="1:9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</row>
    <row r="97" spans="1:93" ht="15.75" customHeight="1">
      <c r="A97" s="2" t="s">
        <v>114</v>
      </c>
      <c r="B97" s="1" t="s">
        <v>116</v>
      </c>
      <c r="C97" s="1" t="s">
        <v>117</v>
      </c>
      <c r="D97" s="1" t="s">
        <v>118</v>
      </c>
      <c r="E97" s="1" t="s">
        <v>119</v>
      </c>
      <c r="F97" s="1" t="s">
        <v>120</v>
      </c>
      <c r="G97" s="1" t="s">
        <v>121</v>
      </c>
      <c r="H97" s="1" t="s">
        <v>122</v>
      </c>
      <c r="I97" s="1" t="s">
        <v>123</v>
      </c>
      <c r="J97" s="1" t="s">
        <v>124</v>
      </c>
      <c r="K97" s="1" t="s">
        <v>125</v>
      </c>
      <c r="L97" s="1" t="s">
        <v>126</v>
      </c>
      <c r="M97" s="1" t="s">
        <v>127</v>
      </c>
      <c r="N97" s="1" t="s">
        <v>128</v>
      </c>
      <c r="O97" s="1" t="s">
        <v>129</v>
      </c>
      <c r="P97" s="1" t="s">
        <v>130</v>
      </c>
      <c r="Q97" s="1" t="s">
        <v>131</v>
      </c>
      <c r="R97" s="1" t="s">
        <v>132</v>
      </c>
      <c r="S97" s="1" t="s">
        <v>133</v>
      </c>
      <c r="T97" s="1" t="s">
        <v>134</v>
      </c>
      <c r="U97" s="1" t="s">
        <v>135</v>
      </c>
      <c r="V97" s="1" t="s">
        <v>136</v>
      </c>
      <c r="W97" s="1" t="s">
        <v>137</v>
      </c>
      <c r="X97" s="1" t="s">
        <v>138</v>
      </c>
      <c r="Y97" s="1" t="s">
        <v>139</v>
      </c>
      <c r="Z97" s="1" t="s">
        <v>140</v>
      </c>
      <c r="AA97" s="1" t="s">
        <v>141</v>
      </c>
      <c r="AB97" s="1" t="s">
        <v>142</v>
      </c>
      <c r="AC97" s="1" t="s">
        <v>143</v>
      </c>
      <c r="AD97" s="1" t="s">
        <v>144</v>
      </c>
      <c r="AE97" s="1" t="s">
        <v>145</v>
      </c>
      <c r="AF97" s="1" t="s">
        <v>146</v>
      </c>
      <c r="AG97" s="1" t="s">
        <v>147</v>
      </c>
      <c r="AH97" s="1" t="s">
        <v>148</v>
      </c>
      <c r="AI97" s="1" t="s">
        <v>149</v>
      </c>
      <c r="AJ97" s="1" t="s">
        <v>150</v>
      </c>
      <c r="AK97" s="1" t="s">
        <v>151</v>
      </c>
      <c r="AL97" s="1" t="s">
        <v>152</v>
      </c>
      <c r="AM97" s="1" t="s">
        <v>153</v>
      </c>
      <c r="AN97" s="1" t="s">
        <v>154</v>
      </c>
      <c r="AO97" s="1" t="s">
        <v>155</v>
      </c>
      <c r="AP97" s="1" t="s">
        <v>156</v>
      </c>
      <c r="AQ97" s="1" t="s">
        <v>157</v>
      </c>
      <c r="AR97" s="1" t="s">
        <v>158</v>
      </c>
      <c r="AS97" s="1" t="s">
        <v>159</v>
      </c>
      <c r="AT97" s="1" t="s">
        <v>160</v>
      </c>
      <c r="AU97" s="1" t="s">
        <v>161</v>
      </c>
      <c r="AV97" s="1" t="s">
        <v>162</v>
      </c>
      <c r="AW97" s="1" t="s">
        <v>163</v>
      </c>
      <c r="AX97" s="1" t="s">
        <v>164</v>
      </c>
      <c r="AY97" s="1" t="s">
        <v>165</v>
      </c>
      <c r="AZ97" s="1" t="s">
        <v>166</v>
      </c>
      <c r="BA97" s="1" t="s">
        <v>167</v>
      </c>
      <c r="BB97" s="1" t="s">
        <v>168</v>
      </c>
      <c r="BC97" s="1" t="s">
        <v>169</v>
      </c>
      <c r="BD97" s="1" t="s">
        <v>170</v>
      </c>
      <c r="BE97" s="1" t="s">
        <v>171</v>
      </c>
      <c r="BF97" s="1" t="s">
        <v>172</v>
      </c>
      <c r="BG97" s="1" t="s">
        <v>173</v>
      </c>
      <c r="BH97" s="1" t="s">
        <v>174</v>
      </c>
      <c r="BI97" s="1" t="s">
        <v>175</v>
      </c>
      <c r="BJ97" s="1" t="s">
        <v>176</v>
      </c>
      <c r="BK97" s="1" t="s">
        <v>177</v>
      </c>
      <c r="BL97" s="1" t="s">
        <v>178</v>
      </c>
      <c r="BM97" s="1" t="s">
        <v>179</v>
      </c>
      <c r="BN97" s="1" t="s">
        <v>180</v>
      </c>
      <c r="BO97" s="1" t="s">
        <v>181</v>
      </c>
      <c r="BP97" s="1" t="s">
        <v>182</v>
      </c>
      <c r="BQ97" s="1" t="s">
        <v>183</v>
      </c>
      <c r="BR97" s="1" t="s">
        <v>184</v>
      </c>
      <c r="BS97" s="1" t="s">
        <v>185</v>
      </c>
      <c r="BT97" s="1" t="s">
        <v>186</v>
      </c>
      <c r="BU97" s="1" t="s">
        <v>187</v>
      </c>
      <c r="BV97" s="1" t="s">
        <v>188</v>
      </c>
      <c r="BW97" s="1" t="s">
        <v>189</v>
      </c>
      <c r="BX97" s="1" t="s">
        <v>190</v>
      </c>
      <c r="BY97" s="1" t="s">
        <v>191</v>
      </c>
      <c r="BZ97" s="1" t="s">
        <v>192</v>
      </c>
      <c r="CA97" s="1" t="s">
        <v>193</v>
      </c>
      <c r="CB97" s="1" t="s">
        <v>194</v>
      </c>
      <c r="CC97" s="1" t="s">
        <v>195</v>
      </c>
      <c r="CD97" s="1" t="s">
        <v>196</v>
      </c>
      <c r="CE97" s="1" t="s">
        <v>197</v>
      </c>
      <c r="CF97" s="1" t="s">
        <v>198</v>
      </c>
      <c r="CG97" s="1" t="s">
        <v>199</v>
      </c>
      <c r="CH97" s="1" t="s">
        <v>200</v>
      </c>
      <c r="CI97" s="1" t="s">
        <v>201</v>
      </c>
      <c r="CJ97" s="1" t="s">
        <v>202</v>
      </c>
      <c r="CK97" s="1" t="s">
        <v>203</v>
      </c>
      <c r="CL97" s="1" t="s">
        <v>204</v>
      </c>
      <c r="CM97" s="1" t="s">
        <v>205</v>
      </c>
      <c r="CN97" s="1" t="s">
        <v>206</v>
      </c>
      <c r="CO97" s="1" t="s">
        <v>209</v>
      </c>
    </row>
    <row r="98" spans="1:93" ht="15.75" customHeight="1">
      <c r="A98" s="3" t="s">
        <v>1</v>
      </c>
      <c r="B98" s="3" t="s">
        <v>2</v>
      </c>
      <c r="C98" s="3" t="s">
        <v>3</v>
      </c>
      <c r="D98" s="3" t="s">
        <v>4</v>
      </c>
      <c r="E98" s="3" t="s">
        <v>5</v>
      </c>
      <c r="F98" s="3" t="s">
        <v>6</v>
      </c>
      <c r="G98" s="3" t="s">
        <v>7</v>
      </c>
      <c r="H98" s="3" t="s">
        <v>8</v>
      </c>
      <c r="I98" s="3" t="s">
        <v>9</v>
      </c>
      <c r="J98" s="3" t="s">
        <v>10</v>
      </c>
      <c r="K98" s="3" t="s">
        <v>11</v>
      </c>
      <c r="L98" s="3" t="s">
        <v>12</v>
      </c>
      <c r="M98" s="3" t="s">
        <v>13</v>
      </c>
      <c r="N98" s="3" t="s">
        <v>14</v>
      </c>
      <c r="O98" s="3" t="s">
        <v>15</v>
      </c>
      <c r="P98" s="3" t="s">
        <v>16</v>
      </c>
      <c r="Q98" s="3" t="s">
        <v>17</v>
      </c>
      <c r="R98" s="3" t="s">
        <v>18</v>
      </c>
      <c r="S98" s="3" t="s">
        <v>19</v>
      </c>
      <c r="T98" s="3" t="s">
        <v>20</v>
      </c>
      <c r="U98" s="3" t="s">
        <v>21</v>
      </c>
      <c r="V98" s="3" t="s">
        <v>22</v>
      </c>
      <c r="W98" s="3" t="s">
        <v>23</v>
      </c>
      <c r="X98" s="3" t="s">
        <v>24</v>
      </c>
      <c r="Y98" s="3" t="s">
        <v>25</v>
      </c>
      <c r="Z98" s="3" t="s">
        <v>26</v>
      </c>
      <c r="AA98" s="3" t="s">
        <v>27</v>
      </c>
      <c r="AB98" s="3" t="s">
        <v>28</v>
      </c>
      <c r="AC98" s="3" t="s">
        <v>29</v>
      </c>
      <c r="AD98" s="3" t="s">
        <v>30</v>
      </c>
      <c r="AE98" s="3" t="s">
        <v>31</v>
      </c>
      <c r="AF98" s="3" t="s">
        <v>32</v>
      </c>
      <c r="AG98" s="3" t="s">
        <v>33</v>
      </c>
      <c r="AH98" s="3" t="s">
        <v>34</v>
      </c>
      <c r="AI98" s="3" t="s">
        <v>35</v>
      </c>
      <c r="AJ98" s="3" t="s">
        <v>36</v>
      </c>
      <c r="AK98" s="3" t="s">
        <v>37</v>
      </c>
      <c r="AL98" s="3" t="s">
        <v>38</v>
      </c>
      <c r="AM98" s="3" t="s">
        <v>39</v>
      </c>
      <c r="AN98" s="3" t="s">
        <v>40</v>
      </c>
      <c r="AO98" s="3" t="s">
        <v>41</v>
      </c>
      <c r="AP98" s="3" t="s">
        <v>42</v>
      </c>
      <c r="AQ98" s="3" t="s">
        <v>43</v>
      </c>
      <c r="AR98" s="3" t="s">
        <v>44</v>
      </c>
      <c r="AS98" s="3" t="s">
        <v>45</v>
      </c>
      <c r="AT98" s="3" t="s">
        <v>46</v>
      </c>
      <c r="AU98" s="3" t="s">
        <v>47</v>
      </c>
      <c r="AV98" s="3" t="s">
        <v>48</v>
      </c>
      <c r="AW98" s="3" t="s">
        <v>49</v>
      </c>
      <c r="AX98" s="3" t="s">
        <v>50</v>
      </c>
      <c r="AY98" s="3" t="s">
        <v>51</v>
      </c>
      <c r="AZ98" s="3" t="s">
        <v>52</v>
      </c>
      <c r="BA98" s="3" t="s">
        <v>53</v>
      </c>
      <c r="BB98" s="3" t="s">
        <v>54</v>
      </c>
      <c r="BC98" s="3" t="s">
        <v>55</v>
      </c>
      <c r="BD98" s="3" t="s">
        <v>56</v>
      </c>
      <c r="BE98" s="3" t="s">
        <v>57</v>
      </c>
      <c r="BF98" s="3" t="s">
        <v>58</v>
      </c>
      <c r="BG98" s="3" t="s">
        <v>59</v>
      </c>
      <c r="BH98" s="3" t="s">
        <v>60</v>
      </c>
      <c r="BI98" s="3" t="s">
        <v>61</v>
      </c>
      <c r="BJ98" s="3" t="s">
        <v>62</v>
      </c>
      <c r="BK98" s="3" t="s">
        <v>63</v>
      </c>
      <c r="BL98" s="3" t="s">
        <v>64</v>
      </c>
      <c r="BM98" s="3" t="s">
        <v>65</v>
      </c>
      <c r="BN98" s="3" t="s">
        <v>66</v>
      </c>
      <c r="BO98" s="3" t="s">
        <v>67</v>
      </c>
      <c r="BP98" s="3" t="s">
        <v>68</v>
      </c>
      <c r="BQ98" s="3" t="s">
        <v>69</v>
      </c>
      <c r="BR98" s="3" t="s">
        <v>70</v>
      </c>
      <c r="BS98" s="3" t="s">
        <v>71</v>
      </c>
      <c r="BT98" s="3" t="s">
        <v>72</v>
      </c>
      <c r="BU98" s="3" t="s">
        <v>73</v>
      </c>
      <c r="BV98" s="3" t="s">
        <v>74</v>
      </c>
      <c r="BW98" s="3" t="s">
        <v>75</v>
      </c>
      <c r="BX98" s="3" t="s">
        <v>76</v>
      </c>
      <c r="BY98" s="3" t="s">
        <v>77</v>
      </c>
      <c r="BZ98" s="3" t="s">
        <v>78</v>
      </c>
      <c r="CA98" s="3" t="s">
        <v>79</v>
      </c>
      <c r="CB98" s="3" t="s">
        <v>80</v>
      </c>
      <c r="CC98" s="3" t="s">
        <v>81</v>
      </c>
      <c r="CD98" s="3" t="s">
        <v>82</v>
      </c>
      <c r="CE98" s="3" t="s">
        <v>83</v>
      </c>
      <c r="CF98" s="3" t="s">
        <v>84</v>
      </c>
      <c r="CG98" s="3" t="s">
        <v>85</v>
      </c>
      <c r="CH98" s="3" t="s">
        <v>86</v>
      </c>
      <c r="CI98" s="3" t="s">
        <v>87</v>
      </c>
      <c r="CJ98" s="3" t="s">
        <v>88</v>
      </c>
      <c r="CK98" s="3" t="s">
        <v>89</v>
      </c>
      <c r="CL98" s="3" t="s">
        <v>90</v>
      </c>
      <c r="CM98" s="3" t="s">
        <v>91</v>
      </c>
      <c r="CN98" s="3" t="s">
        <v>92</v>
      </c>
      <c r="CO98" s="3" t="s">
        <v>93</v>
      </c>
    </row>
    <row r="99" spans="1:93" ht="15.75" customHeight="1">
      <c r="A99" s="1" t="s">
        <v>94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4">
        <v>240</v>
      </c>
      <c r="R99" s="4">
        <v>285</v>
      </c>
      <c r="S99" s="4">
        <v>205</v>
      </c>
      <c r="T99" s="4">
        <v>257</v>
      </c>
      <c r="U99" s="4">
        <v>218</v>
      </c>
      <c r="V99" s="4">
        <v>188</v>
      </c>
      <c r="W99" s="4">
        <v>247</v>
      </c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4">
        <v>240</v>
      </c>
      <c r="AM99" s="4">
        <v>285</v>
      </c>
      <c r="AN99" s="4">
        <v>205</v>
      </c>
      <c r="AO99" s="4">
        <v>257</v>
      </c>
      <c r="AP99" s="4">
        <v>218</v>
      </c>
      <c r="AQ99" s="4">
        <v>188</v>
      </c>
      <c r="AR99" s="4">
        <v>247</v>
      </c>
      <c r="AS99" s="1"/>
      <c r="AT99" s="1"/>
      <c r="AU99" s="1"/>
      <c r="AV99" s="1"/>
      <c r="AW99" s="1"/>
      <c r="AX99" s="1"/>
      <c r="AY99" s="1"/>
      <c r="AZ99" s="1"/>
      <c r="BA99" s="4">
        <v>240</v>
      </c>
      <c r="BB99" s="4">
        <v>285</v>
      </c>
      <c r="BC99" s="4">
        <v>205</v>
      </c>
      <c r="BD99" s="4">
        <v>257</v>
      </c>
      <c r="BE99" s="4">
        <v>218</v>
      </c>
      <c r="BF99" s="4">
        <v>188</v>
      </c>
      <c r="BG99" s="4">
        <v>247</v>
      </c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>
        <v>1</v>
      </c>
      <c r="CH99" s="1"/>
      <c r="CI99" s="1">
        <v>1</v>
      </c>
      <c r="CJ99" s="1">
        <v>2</v>
      </c>
      <c r="CK99" s="1">
        <v>6</v>
      </c>
      <c r="CL99" s="1">
        <v>6</v>
      </c>
      <c r="CM99" s="1">
        <v>3</v>
      </c>
      <c r="CN99" s="1">
        <v>15</v>
      </c>
      <c r="CO99" s="1">
        <v>6</v>
      </c>
    </row>
    <row r="100" spans="1:93" ht="15.75" customHeight="1">
      <c r="A100" s="1" t="s">
        <v>95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>
        <v>282</v>
      </c>
      <c r="R100" s="1">
        <v>286</v>
      </c>
      <c r="S100" s="1">
        <v>276</v>
      </c>
      <c r="T100" s="1">
        <v>279</v>
      </c>
      <c r="U100" s="1">
        <v>278</v>
      </c>
      <c r="V100" s="1">
        <v>260</v>
      </c>
      <c r="W100" s="1">
        <v>300</v>
      </c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>
        <v>282</v>
      </c>
      <c r="AM100" s="1">
        <v>286</v>
      </c>
      <c r="AN100" s="1">
        <v>276</v>
      </c>
      <c r="AO100" s="1">
        <v>279</v>
      </c>
      <c r="AP100" s="1">
        <v>278</v>
      </c>
      <c r="AQ100" s="1">
        <v>260</v>
      </c>
      <c r="AR100" s="1">
        <v>300</v>
      </c>
      <c r="AS100" s="1"/>
      <c r="AT100" s="1"/>
      <c r="AU100" s="1"/>
      <c r="AV100" s="1"/>
      <c r="AW100" s="1"/>
      <c r="AX100" s="1"/>
      <c r="AY100" s="1"/>
      <c r="AZ100" s="1"/>
      <c r="BA100" s="1">
        <v>282</v>
      </c>
      <c r="BB100" s="1">
        <v>286</v>
      </c>
      <c r="BC100" s="1">
        <v>276</v>
      </c>
      <c r="BD100" s="1">
        <v>279</v>
      </c>
      <c r="BE100" s="1">
        <v>278</v>
      </c>
      <c r="BF100" s="1">
        <v>260</v>
      </c>
      <c r="BG100" s="1">
        <v>300</v>
      </c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>
        <v>79</v>
      </c>
      <c r="CH100" s="1">
        <v>93</v>
      </c>
      <c r="CI100" s="1">
        <v>89</v>
      </c>
      <c r="CJ100" s="1">
        <v>103</v>
      </c>
      <c r="CK100" s="1">
        <v>82</v>
      </c>
      <c r="CL100" s="1">
        <v>114</v>
      </c>
      <c r="CM100" s="1">
        <v>97</v>
      </c>
      <c r="CN100" s="1">
        <v>98</v>
      </c>
      <c r="CO100" s="1">
        <v>109</v>
      </c>
    </row>
    <row r="101" spans="1:93" ht="15.75" customHeight="1">
      <c r="A101" s="1" t="s">
        <v>96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>
        <v>544</v>
      </c>
      <c r="R101" s="1">
        <v>491</v>
      </c>
      <c r="S101" s="1">
        <v>532</v>
      </c>
      <c r="T101" s="1">
        <v>562</v>
      </c>
      <c r="U101" s="1">
        <v>495</v>
      </c>
      <c r="V101" s="1">
        <v>512</v>
      </c>
      <c r="W101" s="1">
        <v>540</v>
      </c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>
        <v>544</v>
      </c>
      <c r="AM101" s="1">
        <v>491</v>
      </c>
      <c r="AN101" s="1">
        <v>532</v>
      </c>
      <c r="AO101" s="1">
        <v>562</v>
      </c>
      <c r="AP101" s="1">
        <v>495</v>
      </c>
      <c r="AQ101" s="1">
        <v>512</v>
      </c>
      <c r="AR101" s="1">
        <v>540</v>
      </c>
      <c r="AS101" s="1"/>
      <c r="AT101" s="1"/>
      <c r="AU101" s="1"/>
      <c r="AV101" s="1"/>
      <c r="AW101" s="1"/>
      <c r="AX101" s="1"/>
      <c r="AY101" s="1"/>
      <c r="AZ101" s="1"/>
      <c r="BA101" s="1">
        <v>544</v>
      </c>
      <c r="BB101" s="1">
        <v>491</v>
      </c>
      <c r="BC101" s="1">
        <v>532</v>
      </c>
      <c r="BD101" s="1">
        <v>562</v>
      </c>
      <c r="BE101" s="1">
        <v>495</v>
      </c>
      <c r="BF101" s="1">
        <v>512</v>
      </c>
      <c r="BG101" s="1">
        <v>540</v>
      </c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>
        <v>133</v>
      </c>
      <c r="CH101" s="1">
        <v>149</v>
      </c>
      <c r="CI101" s="1">
        <v>141</v>
      </c>
      <c r="CJ101" s="1">
        <v>134</v>
      </c>
      <c r="CK101" s="1">
        <v>165</v>
      </c>
      <c r="CL101" s="1">
        <v>175</v>
      </c>
      <c r="CM101" s="1">
        <v>151</v>
      </c>
      <c r="CN101" s="1">
        <v>132</v>
      </c>
      <c r="CO101" s="1">
        <v>133</v>
      </c>
    </row>
    <row r="102" spans="1:93" ht="15.75" customHeight="1">
      <c r="A102" s="1" t="s">
        <v>97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>
        <v>80</v>
      </c>
      <c r="R102" s="1">
        <v>72</v>
      </c>
      <c r="S102" s="1">
        <v>121</v>
      </c>
      <c r="T102" s="1">
        <v>108</v>
      </c>
      <c r="U102" s="1">
        <v>152</v>
      </c>
      <c r="V102" s="1">
        <v>154</v>
      </c>
      <c r="W102" s="1">
        <v>208</v>
      </c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>
        <v>80</v>
      </c>
      <c r="AM102" s="1">
        <v>72</v>
      </c>
      <c r="AN102" s="1">
        <v>121</v>
      </c>
      <c r="AO102" s="1">
        <v>108</v>
      </c>
      <c r="AP102" s="1">
        <v>152</v>
      </c>
      <c r="AQ102" s="1">
        <v>154</v>
      </c>
      <c r="AR102" s="1">
        <v>208</v>
      </c>
      <c r="AS102" s="1"/>
      <c r="AT102" s="1"/>
      <c r="AU102" s="1"/>
      <c r="AV102" s="1"/>
      <c r="AW102" s="1"/>
      <c r="AX102" s="1"/>
      <c r="AY102" s="1"/>
      <c r="AZ102" s="1"/>
      <c r="BA102" s="1">
        <v>80</v>
      </c>
      <c r="BB102" s="1">
        <v>72</v>
      </c>
      <c r="BC102" s="1">
        <v>121</v>
      </c>
      <c r="BD102" s="1">
        <v>108</v>
      </c>
      <c r="BE102" s="1">
        <v>152</v>
      </c>
      <c r="BF102" s="1">
        <v>154</v>
      </c>
      <c r="BG102" s="1">
        <v>208</v>
      </c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</row>
    <row r="103" spans="1:93" ht="15.75" customHeight="1">
      <c r="A103" s="1" t="s">
        <v>98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>
        <v>56</v>
      </c>
      <c r="R103" s="1">
        <v>59</v>
      </c>
      <c r="S103" s="1">
        <v>59</v>
      </c>
      <c r="T103" s="1">
        <v>74</v>
      </c>
      <c r="U103" s="1">
        <v>112</v>
      </c>
      <c r="V103" s="1">
        <v>119</v>
      </c>
      <c r="W103" s="1">
        <v>147</v>
      </c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>
        <v>56</v>
      </c>
      <c r="AM103" s="1">
        <v>59</v>
      </c>
      <c r="AN103" s="1">
        <v>59</v>
      </c>
      <c r="AO103" s="1">
        <v>74</v>
      </c>
      <c r="AP103" s="1">
        <v>112</v>
      </c>
      <c r="AQ103" s="1">
        <v>119</v>
      </c>
      <c r="AR103" s="1">
        <v>147</v>
      </c>
      <c r="AS103" s="1"/>
      <c r="AT103" s="1"/>
      <c r="AU103" s="1"/>
      <c r="AV103" s="1"/>
      <c r="AW103" s="1"/>
      <c r="AX103" s="1"/>
      <c r="AY103" s="1"/>
      <c r="AZ103" s="1"/>
      <c r="BA103" s="1">
        <v>56</v>
      </c>
      <c r="BB103" s="1">
        <v>59</v>
      </c>
      <c r="BC103" s="1">
        <v>59</v>
      </c>
      <c r="BD103" s="1">
        <v>74</v>
      </c>
      <c r="BE103" s="1">
        <v>112</v>
      </c>
      <c r="BF103" s="1">
        <v>119</v>
      </c>
      <c r="BG103" s="1">
        <v>147</v>
      </c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</row>
    <row r="104" spans="1:93" ht="15.75" customHeight="1">
      <c r="A104" s="1" t="s">
        <v>99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>
        <v>192</v>
      </c>
      <c r="R104" s="1">
        <v>203</v>
      </c>
      <c r="S104" s="1">
        <v>223</v>
      </c>
      <c r="T104" s="1">
        <v>230</v>
      </c>
      <c r="U104" s="1">
        <v>202</v>
      </c>
      <c r="V104" s="1">
        <v>239</v>
      </c>
      <c r="W104" s="1">
        <v>278</v>
      </c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>
        <v>192</v>
      </c>
      <c r="AM104" s="1">
        <v>203</v>
      </c>
      <c r="AN104" s="1">
        <v>223</v>
      </c>
      <c r="AO104" s="1">
        <v>230</v>
      </c>
      <c r="AP104" s="1">
        <v>202</v>
      </c>
      <c r="AQ104" s="1">
        <v>239</v>
      </c>
      <c r="AR104" s="1">
        <v>278</v>
      </c>
      <c r="AS104" s="1"/>
      <c r="AT104" s="1"/>
      <c r="AU104" s="1"/>
      <c r="AV104" s="1"/>
      <c r="AW104" s="1"/>
      <c r="AX104" s="1"/>
      <c r="AY104" s="1"/>
      <c r="AZ104" s="1"/>
      <c r="BA104" s="1">
        <v>192</v>
      </c>
      <c r="BB104" s="1">
        <v>203</v>
      </c>
      <c r="BC104" s="1">
        <v>223</v>
      </c>
      <c r="BD104" s="1">
        <v>230</v>
      </c>
      <c r="BE104" s="1">
        <v>202</v>
      </c>
      <c r="BF104" s="1">
        <v>239</v>
      </c>
      <c r="BG104" s="1">
        <v>278</v>
      </c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>
        <v>97</v>
      </c>
      <c r="CH104" s="1">
        <v>77</v>
      </c>
      <c r="CI104" s="1">
        <v>84</v>
      </c>
      <c r="CJ104" s="1">
        <v>81</v>
      </c>
      <c r="CK104" s="1">
        <v>62</v>
      </c>
      <c r="CL104" s="1">
        <v>79</v>
      </c>
      <c r="CM104" s="1">
        <v>77</v>
      </c>
      <c r="CN104" s="1">
        <v>89</v>
      </c>
      <c r="CO104" s="1">
        <v>70</v>
      </c>
    </row>
    <row r="105" spans="1:93" ht="15.75" customHeight="1">
      <c r="A105" s="1" t="s">
        <v>100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>
        <v>171</v>
      </c>
      <c r="R105" s="1">
        <v>164</v>
      </c>
      <c r="S105" s="1">
        <v>212</v>
      </c>
      <c r="T105" s="1">
        <v>238</v>
      </c>
      <c r="U105" s="1">
        <v>197</v>
      </c>
      <c r="V105" s="1">
        <v>278</v>
      </c>
      <c r="W105" s="1">
        <v>291</v>
      </c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>
        <v>171</v>
      </c>
      <c r="AM105" s="1">
        <v>164</v>
      </c>
      <c r="AN105" s="1">
        <v>212</v>
      </c>
      <c r="AO105" s="1">
        <v>238</v>
      </c>
      <c r="AP105" s="1">
        <v>197</v>
      </c>
      <c r="AQ105" s="1">
        <v>278</v>
      </c>
      <c r="AR105" s="1">
        <v>291</v>
      </c>
      <c r="AS105" s="1"/>
      <c r="AT105" s="1"/>
      <c r="AU105" s="1"/>
      <c r="AV105" s="1"/>
      <c r="AW105" s="1"/>
      <c r="AX105" s="1"/>
      <c r="AY105" s="1"/>
      <c r="AZ105" s="1"/>
      <c r="BA105" s="1">
        <v>171</v>
      </c>
      <c r="BB105" s="1">
        <v>164</v>
      </c>
      <c r="BC105" s="1">
        <v>212</v>
      </c>
      <c r="BD105" s="1">
        <v>238</v>
      </c>
      <c r="BE105" s="1">
        <v>197</v>
      </c>
      <c r="BF105" s="1">
        <v>278</v>
      </c>
      <c r="BG105" s="1">
        <v>291</v>
      </c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>
        <v>71</v>
      </c>
      <c r="CH105" s="1">
        <v>71</v>
      </c>
      <c r="CI105" s="1">
        <v>56</v>
      </c>
      <c r="CJ105" s="1">
        <v>53</v>
      </c>
      <c r="CK105" s="1">
        <v>66</v>
      </c>
      <c r="CL105" s="1">
        <v>69</v>
      </c>
      <c r="CM105" s="1">
        <v>63</v>
      </c>
      <c r="CN105" s="1">
        <v>72</v>
      </c>
      <c r="CO105" s="1">
        <v>57</v>
      </c>
    </row>
    <row r="106" spans="1:93" ht="15.75" customHeight="1">
      <c r="A106" s="1" t="s">
        <v>101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4">
        <v>120</v>
      </c>
      <c r="R106" s="4">
        <v>141</v>
      </c>
      <c r="S106" s="4">
        <v>158</v>
      </c>
      <c r="T106" s="4">
        <v>134</v>
      </c>
      <c r="U106" s="4">
        <v>144</v>
      </c>
      <c r="V106" s="4">
        <v>183</v>
      </c>
      <c r="W106" s="4">
        <v>156</v>
      </c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4">
        <v>120</v>
      </c>
      <c r="AM106" s="4">
        <v>141</v>
      </c>
      <c r="AN106" s="4">
        <v>158</v>
      </c>
      <c r="AO106" s="4">
        <v>134</v>
      </c>
      <c r="AP106" s="4">
        <v>144</v>
      </c>
      <c r="AQ106" s="4">
        <v>183</v>
      </c>
      <c r="AR106" s="4">
        <v>156</v>
      </c>
      <c r="AS106" s="1"/>
      <c r="AT106" s="1"/>
      <c r="AU106" s="1"/>
      <c r="AV106" s="1"/>
      <c r="AW106" s="1"/>
      <c r="AX106" s="1"/>
      <c r="AY106" s="1"/>
      <c r="AZ106" s="1"/>
      <c r="BA106" s="4">
        <v>120</v>
      </c>
      <c r="BB106" s="4">
        <v>141</v>
      </c>
      <c r="BC106" s="4">
        <v>158</v>
      </c>
      <c r="BD106" s="4">
        <v>134</v>
      </c>
      <c r="BE106" s="4">
        <v>144</v>
      </c>
      <c r="BF106" s="4">
        <v>183</v>
      </c>
      <c r="BG106" s="4">
        <v>156</v>
      </c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>
        <v>46</v>
      </c>
      <c r="CH106" s="1">
        <v>47</v>
      </c>
      <c r="CI106" s="1">
        <v>31</v>
      </c>
      <c r="CJ106" s="1">
        <v>37</v>
      </c>
      <c r="CK106" s="1">
        <v>40</v>
      </c>
      <c r="CL106" s="1">
        <v>21</v>
      </c>
      <c r="CM106" s="1">
        <v>22</v>
      </c>
      <c r="CN106" s="1">
        <v>44</v>
      </c>
      <c r="CO106" s="1">
        <v>37</v>
      </c>
    </row>
    <row r="107" spans="1:93" ht="15.75" customHeight="1">
      <c r="A107" s="1" t="s">
        <v>102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>
        <v>148</v>
      </c>
      <c r="R107" s="1">
        <v>171</v>
      </c>
      <c r="S107" s="1">
        <v>175</v>
      </c>
      <c r="T107" s="1">
        <v>174</v>
      </c>
      <c r="U107" s="1">
        <v>171</v>
      </c>
      <c r="V107" s="1">
        <v>181</v>
      </c>
      <c r="W107" s="1">
        <v>230</v>
      </c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>
        <v>148</v>
      </c>
      <c r="AM107" s="1">
        <v>171</v>
      </c>
      <c r="AN107" s="1">
        <v>175</v>
      </c>
      <c r="AO107" s="1">
        <v>174</v>
      </c>
      <c r="AP107" s="1">
        <v>171</v>
      </c>
      <c r="AQ107" s="1">
        <v>181</v>
      </c>
      <c r="AR107" s="1">
        <v>230</v>
      </c>
      <c r="AS107" s="1"/>
      <c r="AT107" s="1"/>
      <c r="AU107" s="1"/>
      <c r="AV107" s="1"/>
      <c r="AW107" s="1"/>
      <c r="AX107" s="1"/>
      <c r="AY107" s="1"/>
      <c r="AZ107" s="1"/>
      <c r="BA107" s="1">
        <v>148</v>
      </c>
      <c r="BB107" s="1">
        <v>171</v>
      </c>
      <c r="BC107" s="1">
        <v>175</v>
      </c>
      <c r="BD107" s="1">
        <v>174</v>
      </c>
      <c r="BE107" s="1">
        <v>171</v>
      </c>
      <c r="BF107" s="1">
        <v>181</v>
      </c>
      <c r="BG107" s="1">
        <v>230</v>
      </c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>
        <v>215</v>
      </c>
      <c r="CH107" s="1">
        <v>237</v>
      </c>
      <c r="CI107" s="1">
        <v>189</v>
      </c>
      <c r="CJ107" s="1">
        <v>172</v>
      </c>
      <c r="CK107" s="1">
        <v>203</v>
      </c>
      <c r="CL107" s="1">
        <v>167</v>
      </c>
      <c r="CM107" s="1">
        <v>185</v>
      </c>
      <c r="CN107" s="1">
        <v>164</v>
      </c>
      <c r="CO107" s="1">
        <v>177</v>
      </c>
    </row>
    <row r="108" spans="1:93" ht="15.75" customHeight="1">
      <c r="A108" s="1" t="s">
        <v>103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>
        <v>134</v>
      </c>
      <c r="R108" s="1">
        <v>148</v>
      </c>
      <c r="S108" s="1">
        <v>126</v>
      </c>
      <c r="T108" s="1">
        <v>130</v>
      </c>
      <c r="U108" s="1">
        <v>141</v>
      </c>
      <c r="V108" s="1">
        <v>155</v>
      </c>
      <c r="W108" s="1">
        <v>140</v>
      </c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>
        <v>134</v>
      </c>
      <c r="AM108" s="1">
        <v>148</v>
      </c>
      <c r="AN108" s="1">
        <v>126</v>
      </c>
      <c r="AO108" s="1">
        <v>130</v>
      </c>
      <c r="AP108" s="1">
        <v>141</v>
      </c>
      <c r="AQ108" s="1">
        <v>155</v>
      </c>
      <c r="AR108" s="1">
        <v>140</v>
      </c>
      <c r="AS108" s="1"/>
      <c r="AT108" s="1"/>
      <c r="AU108" s="1"/>
      <c r="AV108" s="1"/>
      <c r="AW108" s="1"/>
      <c r="AX108" s="1"/>
      <c r="AY108" s="1"/>
      <c r="AZ108" s="1"/>
      <c r="BA108" s="1">
        <v>134</v>
      </c>
      <c r="BB108" s="1">
        <v>148</v>
      </c>
      <c r="BC108" s="1">
        <v>126</v>
      </c>
      <c r="BD108" s="1">
        <v>130</v>
      </c>
      <c r="BE108" s="1">
        <v>141</v>
      </c>
      <c r="BF108" s="1">
        <v>155</v>
      </c>
      <c r="BG108" s="1">
        <v>140</v>
      </c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>
        <v>22</v>
      </c>
      <c r="CH108" s="1">
        <v>20</v>
      </c>
      <c r="CI108" s="1">
        <v>19</v>
      </c>
      <c r="CJ108" s="1">
        <v>23</v>
      </c>
      <c r="CK108" s="1">
        <v>19</v>
      </c>
      <c r="CL108" s="1">
        <v>23</v>
      </c>
      <c r="CM108" s="1">
        <v>18</v>
      </c>
      <c r="CN108" s="1">
        <v>16</v>
      </c>
      <c r="CO108" s="1">
        <v>23</v>
      </c>
    </row>
    <row r="109" spans="1:93" ht="15.75" customHeight="1">
      <c r="A109" s="1" t="s">
        <v>104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>
        <v>243</v>
      </c>
      <c r="R109" s="1">
        <v>210</v>
      </c>
      <c r="S109" s="1">
        <v>222</v>
      </c>
      <c r="T109" s="1">
        <v>186</v>
      </c>
      <c r="U109" s="1">
        <v>222</v>
      </c>
      <c r="V109" s="1">
        <v>229</v>
      </c>
      <c r="W109" s="1">
        <v>325</v>
      </c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>
        <v>243</v>
      </c>
      <c r="AM109" s="1">
        <v>210</v>
      </c>
      <c r="AN109" s="1">
        <v>222</v>
      </c>
      <c r="AO109" s="1">
        <v>186</v>
      </c>
      <c r="AP109" s="1">
        <v>222</v>
      </c>
      <c r="AQ109" s="1">
        <v>229</v>
      </c>
      <c r="AR109" s="1">
        <v>325</v>
      </c>
      <c r="AS109" s="1"/>
      <c r="AT109" s="1"/>
      <c r="AU109" s="1"/>
      <c r="AV109" s="1"/>
      <c r="AW109" s="1"/>
      <c r="AX109" s="1"/>
      <c r="AY109" s="1"/>
      <c r="AZ109" s="1"/>
      <c r="BA109" s="1">
        <v>243</v>
      </c>
      <c r="BB109" s="1">
        <v>210</v>
      </c>
      <c r="BC109" s="1">
        <v>222</v>
      </c>
      <c r="BD109" s="1">
        <v>186</v>
      </c>
      <c r="BE109" s="1">
        <v>222</v>
      </c>
      <c r="BF109" s="1">
        <v>229</v>
      </c>
      <c r="BG109" s="1">
        <v>325</v>
      </c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>
        <v>136</v>
      </c>
      <c r="CH109" s="1">
        <v>146</v>
      </c>
      <c r="CI109" s="1">
        <v>111</v>
      </c>
      <c r="CJ109" s="1">
        <v>130</v>
      </c>
      <c r="CK109" s="1">
        <v>132</v>
      </c>
      <c r="CL109" s="1">
        <v>106</v>
      </c>
      <c r="CM109" s="1">
        <v>106</v>
      </c>
      <c r="CN109" s="1">
        <v>117</v>
      </c>
      <c r="CO109" s="1">
        <v>127</v>
      </c>
    </row>
    <row r="110" spans="1:93" ht="15.75" customHeight="1">
      <c r="A110" s="1" t="s">
        <v>105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>
        <v>39</v>
      </c>
      <c r="R110" s="1">
        <v>41</v>
      </c>
      <c r="S110" s="1">
        <v>44</v>
      </c>
      <c r="T110" s="1">
        <v>51</v>
      </c>
      <c r="U110" s="1">
        <v>48</v>
      </c>
      <c r="V110" s="1">
        <v>54</v>
      </c>
      <c r="W110" s="1">
        <v>40</v>
      </c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>
        <v>39</v>
      </c>
      <c r="AM110" s="1">
        <v>41</v>
      </c>
      <c r="AN110" s="1">
        <v>44</v>
      </c>
      <c r="AO110" s="1">
        <v>51</v>
      </c>
      <c r="AP110" s="1">
        <v>48</v>
      </c>
      <c r="AQ110" s="1">
        <v>54</v>
      </c>
      <c r="AR110" s="1">
        <v>40</v>
      </c>
      <c r="AS110" s="1"/>
      <c r="AT110" s="1"/>
      <c r="AU110" s="1"/>
      <c r="AV110" s="1"/>
      <c r="AW110" s="1"/>
      <c r="AX110" s="1"/>
      <c r="AY110" s="1"/>
      <c r="AZ110" s="1"/>
      <c r="BA110" s="1">
        <v>39</v>
      </c>
      <c r="BB110" s="1">
        <v>41</v>
      </c>
      <c r="BC110" s="1">
        <v>44</v>
      </c>
      <c r="BD110" s="1">
        <v>51</v>
      </c>
      <c r="BE110" s="1">
        <v>48</v>
      </c>
      <c r="BF110" s="1">
        <v>54</v>
      </c>
      <c r="BG110" s="1">
        <v>40</v>
      </c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>
        <v>50</v>
      </c>
      <c r="CH110" s="1">
        <v>60</v>
      </c>
      <c r="CI110" s="1">
        <v>50</v>
      </c>
      <c r="CJ110" s="1">
        <v>49</v>
      </c>
      <c r="CK110" s="1">
        <v>44</v>
      </c>
      <c r="CL110" s="1">
        <v>54</v>
      </c>
      <c r="CM110" s="1">
        <v>51</v>
      </c>
      <c r="CN110" s="1">
        <v>57</v>
      </c>
      <c r="CO110" s="1">
        <v>50</v>
      </c>
    </row>
    <row r="111" spans="1:93" ht="15.75" customHeight="1">
      <c r="A111" s="1" t="s">
        <v>106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>
        <v>184</v>
      </c>
      <c r="R111" s="1">
        <v>202</v>
      </c>
      <c r="S111" s="1">
        <v>204</v>
      </c>
      <c r="T111" s="1">
        <v>235</v>
      </c>
      <c r="U111" s="1">
        <v>215</v>
      </c>
      <c r="V111" s="1">
        <v>193</v>
      </c>
      <c r="W111" s="1">
        <v>234</v>
      </c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>
        <v>184</v>
      </c>
      <c r="AM111" s="1">
        <v>202</v>
      </c>
      <c r="AN111" s="1">
        <v>204</v>
      </c>
      <c r="AO111" s="1">
        <v>235</v>
      </c>
      <c r="AP111" s="1">
        <v>215</v>
      </c>
      <c r="AQ111" s="1">
        <v>193</v>
      </c>
      <c r="AR111" s="1">
        <v>234</v>
      </c>
      <c r="AS111" s="1"/>
      <c r="AT111" s="1"/>
      <c r="AU111" s="1"/>
      <c r="AV111" s="1"/>
      <c r="AW111" s="1"/>
      <c r="AX111" s="1"/>
      <c r="AY111" s="1"/>
      <c r="AZ111" s="1"/>
      <c r="BA111" s="1">
        <v>184</v>
      </c>
      <c r="BB111" s="1">
        <v>202</v>
      </c>
      <c r="BC111" s="1">
        <v>204</v>
      </c>
      <c r="BD111" s="1">
        <v>235</v>
      </c>
      <c r="BE111" s="1">
        <v>215</v>
      </c>
      <c r="BF111" s="1">
        <v>193</v>
      </c>
      <c r="BG111" s="1">
        <v>234</v>
      </c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</row>
    <row r="112" spans="1:93" ht="15.75" customHeight="1">
      <c r="A112" s="1" t="s">
        <v>107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>
        <v>8</v>
      </c>
      <c r="R112" s="1">
        <v>6</v>
      </c>
      <c r="S112" s="1">
        <v>6</v>
      </c>
      <c r="T112" s="1">
        <v>5</v>
      </c>
      <c r="U112" s="1">
        <v>5</v>
      </c>
      <c r="V112" s="1">
        <v>7</v>
      </c>
      <c r="W112" s="1">
        <v>6</v>
      </c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>
        <v>8</v>
      </c>
      <c r="AM112" s="1">
        <v>6</v>
      </c>
      <c r="AN112" s="1">
        <v>6</v>
      </c>
      <c r="AO112" s="1">
        <v>5</v>
      </c>
      <c r="AP112" s="1">
        <v>5</v>
      </c>
      <c r="AQ112" s="1">
        <v>7</v>
      </c>
      <c r="AR112" s="1">
        <v>6</v>
      </c>
      <c r="AS112" s="1"/>
      <c r="AT112" s="1"/>
      <c r="AU112" s="1"/>
      <c r="AV112" s="1"/>
      <c r="AW112" s="1"/>
      <c r="AX112" s="1"/>
      <c r="AY112" s="1"/>
      <c r="AZ112" s="1"/>
      <c r="BA112" s="1">
        <v>8</v>
      </c>
      <c r="BB112" s="1">
        <v>6</v>
      </c>
      <c r="BC112" s="1">
        <v>6</v>
      </c>
      <c r="BD112" s="1">
        <v>5</v>
      </c>
      <c r="BE112" s="1">
        <v>5</v>
      </c>
      <c r="BF112" s="1">
        <v>7</v>
      </c>
      <c r="BG112" s="1">
        <v>6</v>
      </c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>
        <v>28</v>
      </c>
      <c r="CH112" s="1">
        <v>26</v>
      </c>
      <c r="CI112" s="1">
        <v>22</v>
      </c>
      <c r="CJ112" s="1">
        <v>19</v>
      </c>
      <c r="CK112" s="1">
        <v>30</v>
      </c>
      <c r="CL112" s="1">
        <v>25</v>
      </c>
      <c r="CM112" s="1">
        <v>28</v>
      </c>
      <c r="CN112" s="1">
        <v>30</v>
      </c>
      <c r="CO112" s="1">
        <v>28</v>
      </c>
    </row>
    <row r="113" spans="1:93" ht="15.75" customHeight="1">
      <c r="A113" s="1" t="s">
        <v>108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>
        <v>52</v>
      </c>
      <c r="CH113" s="1">
        <v>49</v>
      </c>
      <c r="CI113" s="1">
        <v>61</v>
      </c>
      <c r="CJ113" s="1">
        <v>63</v>
      </c>
      <c r="CK113" s="1">
        <v>60</v>
      </c>
      <c r="CL113" s="1">
        <v>58</v>
      </c>
      <c r="CM113" s="1">
        <v>38</v>
      </c>
      <c r="CN113" s="1">
        <v>40</v>
      </c>
      <c r="CO113" s="1">
        <v>43</v>
      </c>
    </row>
    <row r="114" spans="1:93" ht="15.75" customHeight="1">
      <c r="A114" s="1" t="s">
        <v>109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4">
        <v>28</v>
      </c>
      <c r="CH114" s="4">
        <v>26</v>
      </c>
      <c r="CI114" s="4">
        <v>22</v>
      </c>
      <c r="CJ114" s="4">
        <v>19</v>
      </c>
      <c r="CK114" s="4">
        <v>30</v>
      </c>
      <c r="CL114" s="4">
        <v>25</v>
      </c>
      <c r="CM114" s="4">
        <v>28</v>
      </c>
      <c r="CN114" s="4">
        <v>30</v>
      </c>
      <c r="CO114" s="4">
        <v>28</v>
      </c>
    </row>
    <row r="115" spans="1:9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</row>
    <row r="116" spans="1:93" ht="15.75" customHeight="1"/>
    <row r="117" spans="1:93" ht="15.75" customHeight="1"/>
    <row r="118" spans="1:93" ht="15.75" customHeight="1"/>
    <row r="119" spans="1:93" ht="15.75" customHeight="1"/>
    <row r="120" spans="1:93" ht="15.75" customHeight="1"/>
    <row r="121" spans="1:93" ht="15.75" customHeight="1"/>
    <row r="122" spans="1:93" ht="15.75" customHeight="1"/>
    <row r="123" spans="1:93" ht="15.75" customHeight="1"/>
    <row r="124" spans="1:93" ht="15.75" customHeight="1"/>
    <row r="125" spans="1:93" ht="15.75" customHeight="1"/>
    <row r="126" spans="1:93" ht="15.75" customHeight="1"/>
    <row r="127" spans="1:93" ht="15.75" customHeight="1"/>
    <row r="128" spans="1:9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1B01-20B2-4D20-8B06-141D799732D0}">
  <dimension ref="A1:AR189"/>
  <sheetViews>
    <sheetView tabSelected="1" zoomScaleNormal="100" workbookViewId="0">
      <selection activeCell="L8" sqref="L8"/>
    </sheetView>
  </sheetViews>
  <sheetFormatPr defaultRowHeight="14.25"/>
  <cols>
    <col min="1" max="1" width="13.85546875" style="6" bestFit="1" customWidth="1"/>
    <col min="2" max="2" width="13.140625" style="6" bestFit="1" customWidth="1"/>
    <col min="3" max="4" width="9.140625" style="6"/>
    <col min="5" max="5" width="13.85546875" style="6" bestFit="1" customWidth="1"/>
    <col min="6" max="6" width="13.140625" style="6" bestFit="1" customWidth="1"/>
    <col min="7" max="8" width="9.140625" style="6"/>
    <col min="9" max="9" width="15.85546875" style="6" bestFit="1" customWidth="1"/>
    <col min="10" max="10" width="13.140625" style="6" bestFit="1" customWidth="1"/>
    <col min="11" max="12" width="10.28515625" style="6" bestFit="1" customWidth="1"/>
    <col min="13" max="13" width="13.85546875" style="6" bestFit="1" customWidth="1"/>
    <col min="14" max="14" width="17" style="6" bestFit="1" customWidth="1"/>
    <col min="15" max="18" width="10.5703125" style="6" bestFit="1" customWidth="1"/>
    <col min="19" max="19" width="10.42578125" style="6" bestFit="1" customWidth="1"/>
    <col min="20" max="20" width="11.7109375" style="6" bestFit="1" customWidth="1"/>
    <col min="21" max="22" width="10.5703125" style="6" bestFit="1" customWidth="1"/>
    <col min="23" max="23" width="13.85546875" style="6" bestFit="1" customWidth="1"/>
    <col min="24" max="24" width="13.140625" style="6" bestFit="1" customWidth="1"/>
    <col min="25" max="26" width="8.42578125" style="6" bestFit="1" customWidth="1"/>
    <col min="27" max="27" width="15.85546875" style="6" bestFit="1" customWidth="1"/>
    <col min="28" max="28" width="17" style="6" bestFit="1" customWidth="1"/>
    <col min="29" max="29" width="8.28515625" style="6" bestFit="1" customWidth="1"/>
    <col min="30" max="31" width="7.85546875" style="6" bestFit="1" customWidth="1"/>
    <col min="32" max="32" width="8.28515625" style="6" bestFit="1" customWidth="1"/>
    <col min="33" max="34" width="7.85546875" style="6" bestFit="1" customWidth="1"/>
    <col min="35" max="35" width="8.28515625" style="6" bestFit="1" customWidth="1"/>
    <col min="36" max="36" width="17.140625" style="6" customWidth="1"/>
    <col min="37" max="37" width="26.28515625" style="6" customWidth="1"/>
    <col min="38" max="38" width="7" style="6" bestFit="1" customWidth="1"/>
    <col min="39" max="40" width="7.28515625" style="6" bestFit="1" customWidth="1"/>
    <col min="41" max="41" width="8.28515625" style="6" bestFit="1" customWidth="1"/>
    <col min="42" max="42" width="9.42578125" style="6" bestFit="1" customWidth="1"/>
    <col min="43" max="43" width="17" style="6" customWidth="1"/>
    <col min="44" max="44" width="21" style="6" customWidth="1"/>
    <col min="45" max="46" width="9.42578125" style="6" bestFit="1" customWidth="1"/>
    <col min="47" max="47" width="17.7109375" style="6" customWidth="1"/>
    <col min="48" max="48" width="28.5703125" style="6" customWidth="1"/>
    <col min="49" max="53" width="9.42578125" style="6" bestFit="1" customWidth="1"/>
    <col min="54" max="62" width="8.42578125" style="6" bestFit="1" customWidth="1"/>
    <col min="63" max="84" width="9.42578125" style="6" bestFit="1" customWidth="1"/>
    <col min="85" max="93" width="8.42578125" style="6" bestFit="1" customWidth="1"/>
    <col min="94" max="115" width="9.42578125" style="6" bestFit="1" customWidth="1"/>
    <col min="116" max="116" width="11.28515625" style="6" bestFit="1" customWidth="1"/>
    <col min="117" max="16384" width="9.140625" style="6"/>
  </cols>
  <sheetData>
    <row r="1" spans="1:44" ht="23.25">
      <c r="A1" s="7" t="s">
        <v>221</v>
      </c>
      <c r="B1" s="9"/>
      <c r="E1" s="30" t="s">
        <v>224</v>
      </c>
      <c r="F1" s="30"/>
      <c r="I1" s="8" t="s">
        <v>220</v>
      </c>
      <c r="M1" s="7" t="s">
        <v>219</v>
      </c>
      <c r="W1" s="7" t="s">
        <v>218</v>
      </c>
      <c r="AA1" s="15" t="s">
        <v>230</v>
      </c>
      <c r="AB1"/>
      <c r="AC1"/>
      <c r="AD1"/>
      <c r="AE1"/>
      <c r="AF1"/>
      <c r="AG1"/>
      <c r="AH1"/>
      <c r="AI1"/>
      <c r="AJ1"/>
      <c r="AK1"/>
      <c r="AL1"/>
      <c r="AM1"/>
      <c r="AN1"/>
      <c r="AO1"/>
    </row>
    <row r="2" spans="1:44"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</row>
    <row r="3" spans="1:44">
      <c r="A3" s="11" t="s">
        <v>215</v>
      </c>
      <c r="B3" t="s">
        <v>216</v>
      </c>
      <c r="E3" s="11" t="s">
        <v>215</v>
      </c>
      <c r="F3" t="s">
        <v>216</v>
      </c>
      <c r="I3" s="11" t="s">
        <v>215</v>
      </c>
      <c r="J3" t="s">
        <v>216</v>
      </c>
      <c r="M3" s="11" t="s">
        <v>216</v>
      </c>
      <c r="N3" s="11" t="s">
        <v>217</v>
      </c>
      <c r="O3"/>
      <c r="P3"/>
      <c r="Q3"/>
      <c r="R3"/>
      <c r="S3"/>
      <c r="T3"/>
      <c r="W3" s="11" t="s">
        <v>215</v>
      </c>
      <c r="X3" t="s">
        <v>216</v>
      </c>
      <c r="AA3" s="11" t="s">
        <v>231</v>
      </c>
      <c r="AB3" s="11" t="s">
        <v>217</v>
      </c>
      <c r="AC3"/>
      <c r="AD3"/>
      <c r="AE3"/>
      <c r="AF3"/>
      <c r="AG3"/>
      <c r="AH3"/>
      <c r="AI3"/>
      <c r="AJ3"/>
      <c r="AK3"/>
      <c r="AL3"/>
      <c r="AM3"/>
      <c r="AN3"/>
      <c r="AO3"/>
    </row>
    <row r="4" spans="1:44" ht="23.25">
      <c r="A4" s="13">
        <v>45444</v>
      </c>
      <c r="B4">
        <v>6219</v>
      </c>
      <c r="E4" s="12" t="s">
        <v>214</v>
      </c>
      <c r="F4">
        <v>157290</v>
      </c>
      <c r="I4" s="12" t="s">
        <v>114</v>
      </c>
      <c r="J4">
        <v>64160</v>
      </c>
      <c r="M4" s="11" t="s">
        <v>215</v>
      </c>
      <c r="N4" t="s">
        <v>114</v>
      </c>
      <c r="O4" t="s">
        <v>0</v>
      </c>
      <c r="P4" t="s">
        <v>110</v>
      </c>
      <c r="Q4" t="s">
        <v>111</v>
      </c>
      <c r="R4" t="s">
        <v>112</v>
      </c>
      <c r="S4" t="s">
        <v>113</v>
      </c>
      <c r="T4" t="s">
        <v>211</v>
      </c>
      <c r="W4" s="12" t="s">
        <v>106</v>
      </c>
      <c r="X4">
        <v>30662</v>
      </c>
      <c r="AA4" s="11" t="s">
        <v>215</v>
      </c>
      <c r="AB4">
        <v>22</v>
      </c>
      <c r="AC4">
        <v>23</v>
      </c>
      <c r="AD4">
        <v>24</v>
      </c>
      <c r="AE4">
        <v>25</v>
      </c>
      <c r="AF4">
        <v>26</v>
      </c>
      <c r="AG4">
        <v>27</v>
      </c>
      <c r="AH4">
        <v>28</v>
      </c>
      <c r="AI4">
        <v>29</v>
      </c>
      <c r="AJ4">
        <v>30</v>
      </c>
      <c r="AK4">
        <v>31</v>
      </c>
      <c r="AL4">
        <v>32</v>
      </c>
      <c r="AM4">
        <v>33</v>
      </c>
      <c r="AN4">
        <v>34</v>
      </c>
      <c r="AO4">
        <v>35</v>
      </c>
      <c r="AQ4" s="17" t="s">
        <v>210</v>
      </c>
      <c r="AR4" s="17" t="s">
        <v>232</v>
      </c>
    </row>
    <row r="5" spans="1:44">
      <c r="A5" s="13">
        <v>45445</v>
      </c>
      <c r="B5">
        <v>5586</v>
      </c>
      <c r="E5" s="12" t="s">
        <v>213</v>
      </c>
      <c r="F5">
        <v>245778</v>
      </c>
      <c r="I5" s="12" t="s">
        <v>0</v>
      </c>
      <c r="J5">
        <v>214244</v>
      </c>
      <c r="M5" s="13">
        <v>45444</v>
      </c>
      <c r="N5"/>
      <c r="O5">
        <v>2491</v>
      </c>
      <c r="P5">
        <v>399</v>
      </c>
      <c r="Q5">
        <v>888</v>
      </c>
      <c r="R5"/>
      <c r="S5">
        <v>2441</v>
      </c>
      <c r="T5">
        <v>6219</v>
      </c>
      <c r="W5" s="12" t="s">
        <v>94</v>
      </c>
      <c r="X5">
        <v>41398</v>
      </c>
      <c r="AA5" s="12" t="s">
        <v>114</v>
      </c>
      <c r="AB5" s="16"/>
      <c r="AC5" s="16" t="e">
        <v>#NULL!</v>
      </c>
      <c r="AD5" s="16" t="e">
        <v>#NULL!</v>
      </c>
      <c r="AE5" s="16"/>
      <c r="AF5" s="16" t="e">
        <v>#NULL!</v>
      </c>
      <c r="AG5" s="16" t="e">
        <v>#NULL!</v>
      </c>
      <c r="AH5" s="16"/>
      <c r="AI5" s="16" t="e">
        <v>#NULL!</v>
      </c>
      <c r="AJ5" s="16"/>
      <c r="AK5" s="16">
        <v>-0.79726416311782167</v>
      </c>
      <c r="AL5" s="16" t="e">
        <v>#NULL!</v>
      </c>
      <c r="AM5" s="16" t="e">
        <v>#NULL!</v>
      </c>
      <c r="AN5" s="16"/>
      <c r="AO5" s="16">
        <v>2.206227667177131</v>
      </c>
      <c r="AQ5" s="6" t="str">
        <f>AA6</f>
        <v>Platform A</v>
      </c>
      <c r="AR5" s="10">
        <f>GETPIVOTDATA("[Measures].[Sum of Sales 3]",$AA$3,"[Append32141].[Platform]","[Append32141].[Platform].&amp;[Platform A]","[Append32141].[Weeknum]","[Append32141].[Weeknum].&amp;[35]")</f>
        <v>4.4185795883177068E-3</v>
      </c>
    </row>
    <row r="6" spans="1:44">
      <c r="A6" s="13">
        <v>45446</v>
      </c>
      <c r="B6">
        <v>5903</v>
      </c>
      <c r="E6" s="12" t="s">
        <v>212</v>
      </c>
      <c r="F6">
        <v>160840</v>
      </c>
      <c r="I6" s="12" t="s">
        <v>110</v>
      </c>
      <c r="J6">
        <v>52282</v>
      </c>
      <c r="M6" s="13">
        <v>45445</v>
      </c>
      <c r="N6"/>
      <c r="O6">
        <v>2121</v>
      </c>
      <c r="P6">
        <v>327</v>
      </c>
      <c r="Q6">
        <v>659</v>
      </c>
      <c r="R6"/>
      <c r="S6">
        <v>2479</v>
      </c>
      <c r="T6">
        <v>5586</v>
      </c>
      <c r="W6" s="12" t="s">
        <v>95</v>
      </c>
      <c r="X6">
        <v>72016</v>
      </c>
      <c r="AA6" s="12" t="s">
        <v>0</v>
      </c>
      <c r="AB6" s="16"/>
      <c r="AC6" s="16">
        <v>5.3026896828582899</v>
      </c>
      <c r="AD6" s="16">
        <v>2.554140127388535E-2</v>
      </c>
      <c r="AE6" s="16">
        <v>-8.3783615924476737E-2</v>
      </c>
      <c r="AF6" s="16">
        <v>-1.9929501084598698E-2</v>
      </c>
      <c r="AG6" s="16">
        <v>2.9464656245677134E-2</v>
      </c>
      <c r="AH6" s="16">
        <v>-3.2249395323837677E-3</v>
      </c>
      <c r="AI6" s="16">
        <v>7.427878134267997E-2</v>
      </c>
      <c r="AJ6" s="16">
        <v>-1.3991717906889196E-2</v>
      </c>
      <c r="AK6" s="16">
        <v>7.5532930321349029E-2</v>
      </c>
      <c r="AL6" s="16">
        <v>5.129570465033724E-2</v>
      </c>
      <c r="AM6" s="16">
        <v>-1.5138724745343014E-2</v>
      </c>
      <c r="AN6" s="16">
        <v>6.0457142857142855E-2</v>
      </c>
      <c r="AO6" s="16">
        <v>4.4185795883177068E-3</v>
      </c>
      <c r="AQ6" s="6" t="str">
        <f>AA7</f>
        <v>Platform B</v>
      </c>
      <c r="AR6" s="10">
        <f>GETPIVOTDATA("[Measures].[Sum of Sales 3]",$AA$3,"[Append32141].[Platform]","[Append32141].[Platform].&amp;[Platform B]","[Append32141].[Weeknum]","[Append32141].[Weeknum].&amp;[35]")</f>
        <v>4.9180327868852458E-2</v>
      </c>
    </row>
    <row r="7" spans="1:44">
      <c r="A7" s="13">
        <v>45447</v>
      </c>
      <c r="B7">
        <v>5902</v>
      </c>
      <c r="E7" s="12" t="s">
        <v>211</v>
      </c>
      <c r="F7">
        <v>563908</v>
      </c>
      <c r="I7" s="12" t="s">
        <v>111</v>
      </c>
      <c r="J7">
        <v>79798</v>
      </c>
      <c r="M7" s="13">
        <v>45446</v>
      </c>
      <c r="N7"/>
      <c r="O7">
        <v>2237</v>
      </c>
      <c r="P7">
        <v>343</v>
      </c>
      <c r="Q7">
        <v>760</v>
      </c>
      <c r="R7"/>
      <c r="S7">
        <v>2563</v>
      </c>
      <c r="T7">
        <v>5903</v>
      </c>
      <c r="W7" s="12" t="s">
        <v>96</v>
      </c>
      <c r="X7">
        <v>121320</v>
      </c>
      <c r="AA7" s="12" t="s">
        <v>110</v>
      </c>
      <c r="AB7" s="16"/>
      <c r="AC7" s="16">
        <v>5.2907268170426063</v>
      </c>
      <c r="AD7" s="16">
        <v>4.9003984063745017E-2</v>
      </c>
      <c r="AE7" s="16">
        <v>4.9373338397265473E-3</v>
      </c>
      <c r="AF7" s="16">
        <v>-6.6137566137566134E-2</v>
      </c>
      <c r="AG7" s="16">
        <v>0.72885471469040874</v>
      </c>
      <c r="AH7" s="16">
        <v>-0.10463483146067416</v>
      </c>
      <c r="AI7" s="16">
        <v>0.14143790849673202</v>
      </c>
      <c r="AJ7" s="16">
        <v>0.15689418231791114</v>
      </c>
      <c r="AK7" s="16">
        <v>-8.5527618293407243E-2</v>
      </c>
      <c r="AL7" s="16">
        <v>-2.7278631738471532E-2</v>
      </c>
      <c r="AM7" s="16">
        <v>0.13999554863120409</v>
      </c>
      <c r="AN7" s="16">
        <v>-5.9156579461147989E-2</v>
      </c>
      <c r="AO7" s="16">
        <v>4.9180327868852458E-2</v>
      </c>
      <c r="AQ7" s="6" t="str">
        <f>AA8</f>
        <v>Platform C</v>
      </c>
      <c r="AR7" s="10">
        <f>GETPIVOTDATA("[Measures].[Sum of Sales 3]",$AA$3,"[Append32141].[Platform]","[Append32141].[Platform].&amp;[Platform C]","[Append32141].[Weeknum]","[Append32141].[Weeknum].&amp;[35]")</f>
        <v>-5.0347747202902936E-2</v>
      </c>
    </row>
    <row r="8" spans="1:44">
      <c r="A8" s="13">
        <v>45448</v>
      </c>
      <c r="B8">
        <v>5912</v>
      </c>
      <c r="I8" s="12" t="s">
        <v>112</v>
      </c>
      <c r="J8">
        <v>58072</v>
      </c>
      <c r="M8" s="13">
        <v>45447</v>
      </c>
      <c r="N8"/>
      <c r="O8">
        <v>2142</v>
      </c>
      <c r="P8">
        <v>377</v>
      </c>
      <c r="Q8">
        <v>720</v>
      </c>
      <c r="R8"/>
      <c r="S8">
        <v>2663</v>
      </c>
      <c r="T8">
        <v>5902</v>
      </c>
      <c r="W8" s="12" t="s">
        <v>99</v>
      </c>
      <c r="X8">
        <v>54300</v>
      </c>
      <c r="AA8" s="12" t="s">
        <v>111</v>
      </c>
      <c r="AB8" s="16"/>
      <c r="AC8" s="16">
        <v>5.4662162162162158</v>
      </c>
      <c r="AD8" s="16">
        <v>0.13549285963079066</v>
      </c>
      <c r="AE8" s="16">
        <v>-0.10506134969325154</v>
      </c>
      <c r="AF8" s="16">
        <v>-0.13247643530419881</v>
      </c>
      <c r="AG8" s="16">
        <v>0.1876728565784275</v>
      </c>
      <c r="AH8" s="16">
        <v>5.1397205588822353E-2</v>
      </c>
      <c r="AI8" s="16">
        <v>-4.8093656067077994E-2</v>
      </c>
      <c r="AJ8" s="16">
        <v>8.5424630214392561E-2</v>
      </c>
      <c r="AK8" s="16">
        <v>-2.1283111315265658E-2</v>
      </c>
      <c r="AL8" s="16">
        <v>-6.2891113892365458E-2</v>
      </c>
      <c r="AM8" s="16">
        <v>-6.6277128547579292E-2</v>
      </c>
      <c r="AN8" s="16">
        <v>0.18254961559091723</v>
      </c>
      <c r="AO8" s="16">
        <v>-5.0347747202902936E-2</v>
      </c>
      <c r="AQ8" s="6" t="str">
        <f>AA9</f>
        <v>Platform D</v>
      </c>
      <c r="AR8" s="10">
        <f>GETPIVOTDATA("[Measures].[Sum of Sales 3]",$AA$3,"[Append32141].[Platform]","[Append32141].[Platform].&amp;[Platform D]","[Append32141].[Weeknum]","[Append32141].[Weeknum].&amp;[35]")</f>
        <v>2.206227667177131</v>
      </c>
    </row>
    <row r="9" spans="1:44">
      <c r="A9" s="13">
        <v>45449</v>
      </c>
      <c r="B9">
        <v>6213</v>
      </c>
      <c r="I9" s="12" t="s">
        <v>113</v>
      </c>
      <c r="J9">
        <v>95352</v>
      </c>
      <c r="M9" s="13">
        <v>45448</v>
      </c>
      <c r="N9"/>
      <c r="O9">
        <v>2102</v>
      </c>
      <c r="P9">
        <v>408</v>
      </c>
      <c r="Q9">
        <v>802</v>
      </c>
      <c r="R9"/>
      <c r="S9">
        <v>2600</v>
      </c>
      <c r="T9">
        <v>5912</v>
      </c>
      <c r="W9" s="12" t="s">
        <v>100</v>
      </c>
      <c r="X9">
        <v>48004</v>
      </c>
      <c r="AA9" s="12" t="s">
        <v>112</v>
      </c>
      <c r="AB9" s="16"/>
      <c r="AC9" s="16" t="e">
        <v>#NULL!</v>
      </c>
      <c r="AD9" s="16" t="e">
        <v>#NULL!</v>
      </c>
      <c r="AE9" s="16" t="e">
        <v>#NULL!</v>
      </c>
      <c r="AF9" s="16" t="e">
        <v>#NULL!</v>
      </c>
      <c r="AG9" s="16" t="e">
        <v>#NULL!</v>
      </c>
      <c r="AH9" s="16"/>
      <c r="AI9" s="16">
        <v>6.4671021931871211</v>
      </c>
      <c r="AJ9" s="16">
        <v>-6.3742032245969254E-3</v>
      </c>
      <c r="AK9" s="16">
        <v>-7.1069182389937105E-3</v>
      </c>
      <c r="AL9" s="16" t="e">
        <v>#NULL!</v>
      </c>
      <c r="AM9" s="16" t="e">
        <v>#NULL!</v>
      </c>
      <c r="AN9" s="16"/>
      <c r="AO9" s="16">
        <v>2.206227667177131</v>
      </c>
      <c r="AQ9" s="6" t="str">
        <f>AA10</f>
        <v>Platform E</v>
      </c>
      <c r="AR9" s="10">
        <f>GETPIVOTDATA("[Measures].[Sum of Sales 3]",$AA$3,"[Append32141].[Platform]","[Append32141].[Platform].&amp;[Platform E]","[Append32141].[Weeknum]","[Append32141].[Weeknum].&amp;[35]")</f>
        <v>-0.72208436724565761</v>
      </c>
    </row>
    <row r="10" spans="1:44">
      <c r="A10" s="13">
        <v>45450</v>
      </c>
      <c r="B10">
        <v>6806</v>
      </c>
      <c r="I10" s="12" t="s">
        <v>211</v>
      </c>
      <c r="J10">
        <v>563908</v>
      </c>
      <c r="M10" s="13">
        <v>45449</v>
      </c>
      <c r="N10"/>
      <c r="O10">
        <v>2271</v>
      </c>
      <c r="P10">
        <v>335</v>
      </c>
      <c r="Q10">
        <v>855</v>
      </c>
      <c r="R10"/>
      <c r="S10">
        <v>2752</v>
      </c>
      <c r="T10">
        <v>6213</v>
      </c>
      <c r="W10" s="12" t="s">
        <v>101</v>
      </c>
      <c r="X10">
        <v>29085</v>
      </c>
      <c r="AA10" s="12" t="s">
        <v>113</v>
      </c>
      <c r="AB10" s="16"/>
      <c r="AC10" s="16">
        <v>5.6362146661204422</v>
      </c>
      <c r="AD10" s="16" t="e">
        <v>#NULL!</v>
      </c>
      <c r="AE10" s="16"/>
      <c r="AF10" s="16">
        <v>1.7886178861788617</v>
      </c>
      <c r="AG10" s="16">
        <v>-0.17594752186588922</v>
      </c>
      <c r="AH10" s="16">
        <v>0.4119051830886255</v>
      </c>
      <c r="AI10" s="16">
        <v>-1.0085823466766898E-2</v>
      </c>
      <c r="AJ10" s="16">
        <v>-0.5721427667383876</v>
      </c>
      <c r="AK10" s="16" t="e">
        <v>#NULL!</v>
      </c>
      <c r="AL10" s="16" t="e">
        <v>#NULL!</v>
      </c>
      <c r="AM10" s="16" t="e">
        <v>#NULL!</v>
      </c>
      <c r="AN10" s="16"/>
      <c r="AO10" s="16">
        <v>-0.72208436724565761</v>
      </c>
      <c r="AQ10" s="6" t="str">
        <f>AA5</f>
        <v>AMAZON NOW F</v>
      </c>
      <c r="AR10" s="10">
        <f>GETPIVOTDATA("[Measures].[Sum of Sales 3]",$AA$3,"[Append32141].[Platform]","[Append32141].[Platform].&amp;[AMAZON NOW F]","[Append32141].[Weeknum]","[Append32141].[Weeknum].&amp;[35]")</f>
        <v>2.206227667177131</v>
      </c>
    </row>
    <row r="11" spans="1:44">
      <c r="A11" s="13">
        <v>45451</v>
      </c>
      <c r="B11">
        <v>3829</v>
      </c>
      <c r="M11" s="13">
        <v>45450</v>
      </c>
      <c r="N11"/>
      <c r="O11">
        <v>2333</v>
      </c>
      <c r="P11">
        <v>372</v>
      </c>
      <c r="Q11">
        <v>959</v>
      </c>
      <c r="R11"/>
      <c r="S11">
        <v>3142</v>
      </c>
      <c r="T11">
        <v>6806</v>
      </c>
      <c r="W11" s="12" t="s">
        <v>102</v>
      </c>
      <c r="X11">
        <v>56514</v>
      </c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</row>
    <row r="12" spans="1:44" ht="23.25">
      <c r="A12" s="13">
        <v>45452</v>
      </c>
      <c r="B12">
        <v>3200</v>
      </c>
      <c r="E12" s="31" t="s">
        <v>225</v>
      </c>
      <c r="F12" s="31"/>
      <c r="M12" s="13">
        <v>45451</v>
      </c>
      <c r="N12"/>
      <c r="O12">
        <v>2494</v>
      </c>
      <c r="P12">
        <v>348</v>
      </c>
      <c r="Q12">
        <v>987</v>
      </c>
      <c r="R12"/>
      <c r="S12"/>
      <c r="T12">
        <v>3829</v>
      </c>
      <c r="W12" s="12" t="s">
        <v>103</v>
      </c>
      <c r="X12">
        <v>24843</v>
      </c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</row>
    <row r="13" spans="1:44">
      <c r="A13" s="13">
        <v>45453</v>
      </c>
      <c r="B13">
        <v>3249</v>
      </c>
      <c r="E13"/>
      <c r="F13"/>
      <c r="M13" s="13">
        <v>45452</v>
      </c>
      <c r="N13"/>
      <c r="O13">
        <v>2047</v>
      </c>
      <c r="P13">
        <v>333</v>
      </c>
      <c r="Q13">
        <v>820</v>
      </c>
      <c r="R13"/>
      <c r="S13"/>
      <c r="T13">
        <v>3200</v>
      </c>
      <c r="W13" s="12" t="s">
        <v>104</v>
      </c>
      <c r="X13">
        <v>54684</v>
      </c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</row>
    <row r="14" spans="1:44" ht="23.25">
      <c r="A14" s="13">
        <v>45454</v>
      </c>
      <c r="B14">
        <v>3558</v>
      </c>
      <c r="E14" s="11" t="s">
        <v>215</v>
      </c>
      <c r="F14" t="s">
        <v>216</v>
      </c>
      <c r="I14" s="7" t="s">
        <v>222</v>
      </c>
      <c r="J14" s="7" t="s">
        <v>223</v>
      </c>
      <c r="M14" s="13">
        <v>45453</v>
      </c>
      <c r="N14"/>
      <c r="O14">
        <v>2112</v>
      </c>
      <c r="P14">
        <v>282</v>
      </c>
      <c r="Q14">
        <v>855</v>
      </c>
      <c r="R14"/>
      <c r="S14"/>
      <c r="T14">
        <v>3249</v>
      </c>
      <c r="W14" s="12" t="s">
        <v>211</v>
      </c>
      <c r="X14">
        <v>532826</v>
      </c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</row>
    <row r="15" spans="1:44">
      <c r="A15" s="13">
        <v>45455</v>
      </c>
      <c r="B15">
        <v>3635</v>
      </c>
      <c r="E15" s="12">
        <v>22</v>
      </c>
      <c r="F15">
        <v>6219</v>
      </c>
      <c r="I15" s="6" t="s">
        <v>227</v>
      </c>
      <c r="J15" s="6">
        <f>GETPIVOTDATA("[Measures].[Sum of Sales]",$A$3,"[Append321].[Date]","[Append321].[Date].&amp;[2024-08-31T00:00:00]")</f>
        <v>6575</v>
      </c>
      <c r="M15" s="13">
        <v>45454</v>
      </c>
      <c r="N15"/>
      <c r="O15">
        <v>2274</v>
      </c>
      <c r="P15">
        <v>344</v>
      </c>
      <c r="Q15">
        <v>940</v>
      </c>
      <c r="R15"/>
      <c r="S15"/>
      <c r="T15">
        <v>3558</v>
      </c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</row>
    <row r="16" spans="1:44">
      <c r="A16" s="13">
        <v>45456</v>
      </c>
      <c r="B16">
        <v>3531</v>
      </c>
      <c r="E16" s="12">
        <v>23</v>
      </c>
      <c r="F16">
        <v>40151</v>
      </c>
      <c r="I16" s="6" t="s">
        <v>228</v>
      </c>
      <c r="J16" s="6">
        <f>GETPIVOTDATA("[Measures].[Sum of Sales 2]",$E$14,"[Append3214].[Weeknum]","[Append3214].[Weeknum].&amp;[35]")</f>
        <v>44331</v>
      </c>
      <c r="M16" s="13">
        <v>45455</v>
      </c>
      <c r="N16"/>
      <c r="O16">
        <v>2393</v>
      </c>
      <c r="P16">
        <v>355</v>
      </c>
      <c r="Q16">
        <v>887</v>
      </c>
      <c r="R16"/>
      <c r="S16"/>
      <c r="T16">
        <v>3635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</row>
    <row r="17" spans="1:41" ht="23.25">
      <c r="A17" s="13">
        <v>45457</v>
      </c>
      <c r="B17">
        <v>4062</v>
      </c>
      <c r="E17" s="12">
        <v>24</v>
      </c>
      <c r="F17">
        <v>25254</v>
      </c>
      <c r="I17" s="6" t="s">
        <v>229</v>
      </c>
      <c r="J17" s="6">
        <f>GETPIVOTDATA("[Measures].[Sum of Sales]",$E$3,"[Append321].[Date (Month)]","[Append321].[Date (Month)].&amp;[Aug]")</f>
        <v>160840</v>
      </c>
      <c r="M17" s="13">
        <v>45456</v>
      </c>
      <c r="N17"/>
      <c r="O17">
        <v>2243</v>
      </c>
      <c r="P17">
        <v>369</v>
      </c>
      <c r="Q17">
        <v>919</v>
      </c>
      <c r="R17"/>
      <c r="S17"/>
      <c r="T17">
        <v>3531</v>
      </c>
      <c r="AA17" s="15" t="s">
        <v>233</v>
      </c>
      <c r="AB17"/>
      <c r="AC17"/>
      <c r="AD17"/>
      <c r="AE17"/>
      <c r="AF17"/>
      <c r="AG17"/>
      <c r="AH17"/>
      <c r="AI17"/>
      <c r="AL17"/>
      <c r="AM17"/>
      <c r="AN17"/>
      <c r="AO17"/>
    </row>
    <row r="18" spans="1:41">
      <c r="A18" s="13">
        <v>45458</v>
      </c>
      <c r="B18">
        <v>4019</v>
      </c>
      <c r="E18" s="12">
        <v>25</v>
      </c>
      <c r="F18">
        <v>46793</v>
      </c>
      <c r="I18" s="6" t="s">
        <v>235</v>
      </c>
      <c r="J18" s="10">
        <f>(GETPIVOTDATA("[Measures].[Sum of Sales]",$A$3,"[Append321].[Date]","[Append321].[Date].&amp;[2024-08-31T00:00:00]")-GETPIVOTDATA("[Measures].[Sum of Sales]",$A$3,"[Append321].[Date]","[Append321].[Date].&amp;[2024-08-30T00:00:00]"))/GETPIVOTDATA("[Measures].[Sum of Sales]",$A$3,"[Append321].[Date]","[Append321].[Date].&amp;[2024-08-30T00:00:00]")</f>
        <v>5.3179561108441457E-2</v>
      </c>
      <c r="M18" s="13">
        <v>45457</v>
      </c>
      <c r="N18"/>
      <c r="O18">
        <v>2504</v>
      </c>
      <c r="P18">
        <v>489</v>
      </c>
      <c r="Q18">
        <v>1069</v>
      </c>
      <c r="R18"/>
      <c r="S18"/>
      <c r="T18">
        <v>4062</v>
      </c>
      <c r="AA18"/>
      <c r="AB18"/>
      <c r="AC18"/>
      <c r="AD18"/>
      <c r="AE18"/>
      <c r="AF18"/>
      <c r="AG18"/>
      <c r="AH18"/>
      <c r="AI18"/>
      <c r="AK18"/>
      <c r="AL18"/>
      <c r="AM18"/>
      <c r="AN18"/>
      <c r="AO18"/>
    </row>
    <row r="19" spans="1:41">
      <c r="A19" s="13">
        <v>45459</v>
      </c>
      <c r="B19">
        <v>5805</v>
      </c>
      <c r="E19" s="12">
        <v>26</v>
      </c>
      <c r="F19">
        <v>35711</v>
      </c>
      <c r="I19" s="6" t="s">
        <v>236</v>
      </c>
      <c r="J19" s="10">
        <f>(GETPIVOTDATA("[Measures].[Sum of Sales 2]",$E$14,"[Append3214].[Weeknum]","[Append3214].[Weeknum].&amp;[35]")-GETPIVOTDATA("[Measures].[Sum of Sales 2]",$E$14,"[Append3214].[Weeknum]","[Append3214].[Weeknum].&amp;[34]"))/GETPIVOTDATA("[Measures].[Sum of Sales 2]",$E$14,"[Append3214].[Weeknum]","[Append3214].[Weeknum].&amp;[34]")</f>
        <v>9.8471145030601878E-2</v>
      </c>
      <c r="M19" s="13">
        <v>45458</v>
      </c>
      <c r="N19"/>
      <c r="O19">
        <v>2528</v>
      </c>
      <c r="P19">
        <v>461</v>
      </c>
      <c r="Q19">
        <v>1030</v>
      </c>
      <c r="R19"/>
      <c r="S19"/>
      <c r="T19">
        <v>4019</v>
      </c>
      <c r="AA19" s="11" t="s">
        <v>231</v>
      </c>
      <c r="AB19" s="11" t="s">
        <v>217</v>
      </c>
      <c r="AC19"/>
      <c r="AD19"/>
      <c r="AE19"/>
      <c r="AF19"/>
      <c r="AG19"/>
      <c r="AH19"/>
      <c r="AI19"/>
      <c r="AK19"/>
      <c r="AL19"/>
      <c r="AM19"/>
      <c r="AN19"/>
      <c r="AO19"/>
    </row>
    <row r="20" spans="1:41" ht="23.25">
      <c r="A20" s="13">
        <v>45460</v>
      </c>
      <c r="B20">
        <v>5741</v>
      </c>
      <c r="E20" s="12">
        <v>27</v>
      </c>
      <c r="F20">
        <v>36474</v>
      </c>
      <c r="I20" s="6" t="s">
        <v>237</v>
      </c>
      <c r="J20" s="10">
        <f>(GETPIVOTDATA("[Measures].[Sum of Sales]",$E$3,"[Append321].[Date (Month)]","[Append321].[Date (Month)].&amp;[Aug]")-GETPIVOTDATA("[Measures].[Sum of Sales]",$E$3,"[Append321].[Date (Month)]","[Append321].[Date (Month)].&amp;[Jul]"))/GETPIVOTDATA("[Measures].[Sum of Sales]",$E$3,"[Append321].[Date (Month)]","[Append321].[Date (Month)].&amp;[Jul]")</f>
        <v>-0.34558829512812378</v>
      </c>
      <c r="M20" s="13">
        <v>45459</v>
      </c>
      <c r="N20">
        <v>2441</v>
      </c>
      <c r="O20">
        <v>2129</v>
      </c>
      <c r="P20">
        <v>421</v>
      </c>
      <c r="Q20">
        <v>814</v>
      </c>
      <c r="R20"/>
      <c r="S20"/>
      <c r="T20">
        <v>5805</v>
      </c>
      <c r="AA20" s="11" t="s">
        <v>215</v>
      </c>
      <c r="AB20" t="s">
        <v>214</v>
      </c>
      <c r="AC20" t="s">
        <v>213</v>
      </c>
      <c r="AD20" t="s">
        <v>212</v>
      </c>
      <c r="AE20"/>
      <c r="AF20"/>
      <c r="AG20"/>
      <c r="AH20"/>
      <c r="AI20"/>
      <c r="AJ20" s="17" t="s">
        <v>210</v>
      </c>
      <c r="AK20" s="17" t="s">
        <v>234</v>
      </c>
      <c r="AL20"/>
      <c r="AM20"/>
      <c r="AN20"/>
      <c r="AO20"/>
    </row>
    <row r="21" spans="1:41">
      <c r="A21" s="13">
        <v>45461</v>
      </c>
      <c r="B21">
        <v>5933</v>
      </c>
      <c r="E21" s="12">
        <v>28</v>
      </c>
      <c r="F21">
        <v>61728</v>
      </c>
      <c r="M21" s="13">
        <v>45460</v>
      </c>
      <c r="N21">
        <v>2479</v>
      </c>
      <c r="O21">
        <v>1975</v>
      </c>
      <c r="P21">
        <v>392</v>
      </c>
      <c r="Q21">
        <v>895</v>
      </c>
      <c r="R21"/>
      <c r="S21"/>
      <c r="T21">
        <v>5741</v>
      </c>
      <c r="AA21" s="12" t="s">
        <v>114</v>
      </c>
      <c r="AB21" s="16"/>
      <c r="AC21" s="16">
        <v>1</v>
      </c>
      <c r="AD21" s="16">
        <v>-0.77896995708154504</v>
      </c>
      <c r="AE21"/>
      <c r="AF21"/>
      <c r="AG21"/>
      <c r="AH21"/>
      <c r="AI21"/>
      <c r="AJ21" s="6" t="str">
        <f>AA22</f>
        <v>Platform A</v>
      </c>
      <c r="AK21" s="16">
        <f>GETPIVOTDATA("[Measures].[Sum of Sales 3]",$AA$19,"[Append32141].[Platform]","[Append32141].[Platform].&amp;[Platform A]","[Append32141].[Date (Month)]","[Append32141].[Date (Month)].&amp;[Aug]")</f>
        <v>0.17650588304162032</v>
      </c>
      <c r="AL21"/>
      <c r="AM21"/>
      <c r="AN21"/>
      <c r="AO21"/>
    </row>
    <row r="22" spans="1:41">
      <c r="A22" s="13">
        <v>45462</v>
      </c>
      <c r="B22">
        <v>5900</v>
      </c>
      <c r="E22" s="12">
        <v>29</v>
      </c>
      <c r="F22">
        <v>58125</v>
      </c>
      <c r="M22" s="13">
        <v>45461</v>
      </c>
      <c r="N22">
        <v>2563</v>
      </c>
      <c r="O22">
        <v>2150</v>
      </c>
      <c r="P22">
        <v>420</v>
      </c>
      <c r="Q22">
        <v>800</v>
      </c>
      <c r="R22"/>
      <c r="S22"/>
      <c r="T22">
        <v>5933</v>
      </c>
      <c r="AA22" s="12" t="s">
        <v>0</v>
      </c>
      <c r="AB22" s="16"/>
      <c r="AC22" s="16">
        <v>4.2934110715975519E-2</v>
      </c>
      <c r="AD22" s="16">
        <v>0.17650588304162032</v>
      </c>
      <c r="AE22"/>
      <c r="AF22"/>
      <c r="AG22"/>
      <c r="AH22"/>
      <c r="AI22"/>
      <c r="AJ22" s="6" t="str">
        <f t="shared" ref="AJ22:AJ25" si="0">AA23</f>
        <v>Platform B</v>
      </c>
      <c r="AK22" s="16">
        <f>GETPIVOTDATA("[Measures].[Sum of Sales 3]",$AA$19,"[Append32141].[Platform]","[Append32141].[Platform].&amp;[Platform B]","[Append32141].[Date (Month)]","[Append32141].[Date (Month)].&amp;[Aug]")</f>
        <v>0.10679760626054934</v>
      </c>
      <c r="AL22"/>
      <c r="AM22"/>
      <c r="AN22"/>
      <c r="AO22"/>
    </row>
    <row r="23" spans="1:41">
      <c r="A23" s="13">
        <v>45463</v>
      </c>
      <c r="B23">
        <v>5680</v>
      </c>
      <c r="E23" s="12">
        <v>30</v>
      </c>
      <c r="F23">
        <v>65456</v>
      </c>
      <c r="M23" s="13">
        <v>45462</v>
      </c>
      <c r="N23">
        <v>2663</v>
      </c>
      <c r="O23">
        <v>2064</v>
      </c>
      <c r="P23">
        <v>351</v>
      </c>
      <c r="Q23">
        <v>822</v>
      </c>
      <c r="R23"/>
      <c r="S23"/>
      <c r="T23">
        <v>5900</v>
      </c>
      <c r="AA23" s="12" t="s">
        <v>110</v>
      </c>
      <c r="AB23" s="16"/>
      <c r="AC23" s="16">
        <v>0.7626217093400649</v>
      </c>
      <c r="AD23" s="16">
        <v>0.10679760626054934</v>
      </c>
      <c r="AE23"/>
      <c r="AF23"/>
      <c r="AG23"/>
      <c r="AH23"/>
      <c r="AI23"/>
      <c r="AJ23" s="6" t="str">
        <f t="shared" si="0"/>
        <v>Platform C</v>
      </c>
      <c r="AK23" s="16">
        <f>GETPIVOTDATA("[Measures].[Sum of Sales 3]",$AA$19,"[Append32141].[Platform]","[Append32141].[Platform].&amp;[Platform C]","[Append32141].[Date (Month)]","[Append32141].[Date (Month)].&amp;[Aug]")</f>
        <v>-1.3892898383371825E-2</v>
      </c>
      <c r="AL23"/>
      <c r="AM23"/>
      <c r="AN23"/>
      <c r="AO23"/>
    </row>
    <row r="24" spans="1:41">
      <c r="A24" s="13">
        <v>45464</v>
      </c>
      <c r="B24">
        <v>8562</v>
      </c>
      <c r="E24" s="12">
        <v>31</v>
      </c>
      <c r="F24">
        <v>46842</v>
      </c>
      <c r="M24" s="13">
        <v>45463</v>
      </c>
      <c r="N24">
        <v>2600</v>
      </c>
      <c r="O24">
        <v>1988</v>
      </c>
      <c r="P24">
        <v>316</v>
      </c>
      <c r="Q24">
        <v>776</v>
      </c>
      <c r="R24"/>
      <c r="S24"/>
      <c r="T24">
        <v>5680</v>
      </c>
      <c r="AA24" s="12" t="s">
        <v>111</v>
      </c>
      <c r="AB24" s="16"/>
      <c r="AC24" s="16">
        <v>0.11926976049113454</v>
      </c>
      <c r="AD24" s="16">
        <v>-1.3892898383371825E-2</v>
      </c>
      <c r="AE24"/>
      <c r="AF24"/>
      <c r="AG24"/>
      <c r="AH24"/>
      <c r="AI24"/>
      <c r="AJ24" s="6" t="str">
        <f t="shared" si="0"/>
        <v>Platform D</v>
      </c>
      <c r="AK24" s="16">
        <f>GETPIVOTDATA("[Measures].[Sum of Sales 3]",$AA$19,"[Append32141].[Platform]","[Append32141].[Platform].&amp;[Platform D]","[Append32141].[Date (Month)]","[Append32141].[Date (Month)].&amp;[Aug]")</f>
        <v>-0.65171461075897941</v>
      </c>
      <c r="AL24"/>
      <c r="AM24"/>
      <c r="AN24"/>
      <c r="AO24"/>
    </row>
    <row r="25" spans="1:41">
      <c r="A25" s="13">
        <v>45465</v>
      </c>
      <c r="B25">
        <v>9172</v>
      </c>
      <c r="E25" s="12">
        <v>32</v>
      </c>
      <c r="F25">
        <v>28252</v>
      </c>
      <c r="M25" s="13">
        <v>45464</v>
      </c>
      <c r="N25">
        <v>2752</v>
      </c>
      <c r="O25">
        <v>2159</v>
      </c>
      <c r="P25">
        <v>363</v>
      </c>
      <c r="Q25">
        <v>847</v>
      </c>
      <c r="R25"/>
      <c r="S25">
        <v>2441</v>
      </c>
      <c r="T25">
        <v>8562</v>
      </c>
      <c r="AA25" s="12" t="s">
        <v>112</v>
      </c>
      <c r="AB25" s="16"/>
      <c r="AC25" s="16"/>
      <c r="AD25" s="16">
        <v>-0.65171461075897941</v>
      </c>
      <c r="AE25"/>
      <c r="AF25"/>
      <c r="AG25"/>
      <c r="AH25"/>
      <c r="AI25"/>
      <c r="AJ25" s="6" t="str">
        <f t="shared" si="0"/>
        <v>Platform E</v>
      </c>
      <c r="AK25" s="16">
        <f>GETPIVOTDATA("[Measures].[Sum of Sales 3]",$AA$19,"[Append32141].[Platform]","[Append32141].[Platform].&amp;[Platform E]","[Append32141].[Date (Month)]","[Append32141].[Date (Month)].&amp;[Aug]")</f>
        <v>-0.83464440520147698</v>
      </c>
      <c r="AL25"/>
      <c r="AM25"/>
      <c r="AN25"/>
      <c r="AO25"/>
    </row>
    <row r="26" spans="1:41">
      <c r="A26" s="13">
        <v>45466</v>
      </c>
      <c r="B26">
        <v>5456</v>
      </c>
      <c r="E26" s="12">
        <v>33</v>
      </c>
      <c r="F26">
        <v>28215</v>
      </c>
      <c r="M26" s="13">
        <v>45465</v>
      </c>
      <c r="N26">
        <v>3142</v>
      </c>
      <c r="O26">
        <v>2287</v>
      </c>
      <c r="P26">
        <v>383</v>
      </c>
      <c r="Q26">
        <v>881</v>
      </c>
      <c r="R26"/>
      <c r="S26">
        <v>2479</v>
      </c>
      <c r="T26">
        <v>9172</v>
      </c>
      <c r="AA26" s="12" t="s">
        <v>113</v>
      </c>
      <c r="AB26" s="16"/>
      <c r="AC26" s="16">
        <v>0.3366952789699571</v>
      </c>
      <c r="AD26" s="16">
        <v>-0.83464440520147698</v>
      </c>
      <c r="AE26"/>
      <c r="AF26"/>
      <c r="AG26"/>
      <c r="AH26"/>
      <c r="AI26"/>
      <c r="AJ26" s="6" t="str">
        <f>AA21</f>
        <v>AMAZON NOW F</v>
      </c>
      <c r="AK26" s="16">
        <f>GETPIVOTDATA("[Measures].[Sum of Sales 3]",$AA$19,"[Append32141].[Platform]","[Append32141].[Platform].&amp;[AMAZON NOW F]","[Append32141].[Date (Month)]","[Append32141].[Date (Month)].&amp;[Aug]")</f>
        <v>-0.77896995708154504</v>
      </c>
      <c r="AL26"/>
      <c r="AM26"/>
      <c r="AN26"/>
      <c r="AO26"/>
    </row>
    <row r="27" spans="1:41">
      <c r="A27" s="13">
        <v>45467</v>
      </c>
      <c r="B27">
        <v>5727</v>
      </c>
      <c r="E27" s="12">
        <v>34</v>
      </c>
      <c r="F27">
        <v>40357</v>
      </c>
      <c r="M27" s="13">
        <v>45466</v>
      </c>
      <c r="N27"/>
      <c r="O27">
        <v>1873</v>
      </c>
      <c r="P27">
        <v>310</v>
      </c>
      <c r="Q27">
        <v>710</v>
      </c>
      <c r="R27"/>
      <c r="S27">
        <v>2563</v>
      </c>
      <c r="T27">
        <v>5456</v>
      </c>
    </row>
    <row r="28" spans="1:41">
      <c r="A28" s="13">
        <v>45468</v>
      </c>
      <c r="B28">
        <v>5684</v>
      </c>
      <c r="E28" s="12">
        <v>35</v>
      </c>
      <c r="F28">
        <v>44331</v>
      </c>
      <c r="M28" s="13">
        <v>45467</v>
      </c>
      <c r="N28"/>
      <c r="O28">
        <v>1994</v>
      </c>
      <c r="P28">
        <v>349</v>
      </c>
      <c r="Q28">
        <v>721</v>
      </c>
      <c r="R28"/>
      <c r="S28">
        <v>2663</v>
      </c>
      <c r="T28">
        <v>5727</v>
      </c>
    </row>
    <row r="29" spans="1:41">
      <c r="A29" s="13">
        <v>45469</v>
      </c>
      <c r="B29">
        <v>5846</v>
      </c>
      <c r="E29" s="12" t="s">
        <v>211</v>
      </c>
      <c r="F29">
        <v>563908</v>
      </c>
      <c r="M29" s="13">
        <v>45468</v>
      </c>
      <c r="N29"/>
      <c r="O29">
        <v>2062</v>
      </c>
      <c r="P29">
        <v>317</v>
      </c>
      <c r="Q29">
        <v>705</v>
      </c>
      <c r="R29"/>
      <c r="S29">
        <v>2600</v>
      </c>
      <c r="T29">
        <v>5684</v>
      </c>
    </row>
    <row r="30" spans="1:41">
      <c r="A30" s="13">
        <v>45470</v>
      </c>
      <c r="B30">
        <v>6208</v>
      </c>
      <c r="M30" s="13">
        <v>45469</v>
      </c>
      <c r="N30"/>
      <c r="O30">
        <v>2063</v>
      </c>
      <c r="P30">
        <v>347</v>
      </c>
      <c r="Q30">
        <v>684</v>
      </c>
      <c r="R30"/>
      <c r="S30">
        <v>2752</v>
      </c>
      <c r="T30">
        <v>5846</v>
      </c>
    </row>
    <row r="31" spans="1:41">
      <c r="A31" s="13">
        <v>45471</v>
      </c>
      <c r="B31">
        <v>3323</v>
      </c>
      <c r="M31" s="13">
        <v>45470</v>
      </c>
      <c r="N31"/>
      <c r="O31">
        <v>2019</v>
      </c>
      <c r="P31">
        <v>330</v>
      </c>
      <c r="Q31">
        <v>717</v>
      </c>
      <c r="R31"/>
      <c r="S31">
        <v>3142</v>
      </c>
      <c r="T31">
        <v>6208</v>
      </c>
    </row>
    <row r="32" spans="1:41">
      <c r="A32" s="13">
        <v>45472</v>
      </c>
      <c r="B32">
        <v>3467</v>
      </c>
      <c r="M32" s="13">
        <v>45471</v>
      </c>
      <c r="N32"/>
      <c r="O32">
        <v>2239</v>
      </c>
      <c r="P32">
        <v>375</v>
      </c>
      <c r="Q32">
        <v>709</v>
      </c>
      <c r="R32"/>
      <c r="S32"/>
      <c r="T32">
        <v>3323</v>
      </c>
    </row>
    <row r="33" spans="1:20">
      <c r="A33" s="13">
        <v>45473</v>
      </c>
      <c r="B33">
        <v>3162</v>
      </c>
      <c r="M33" s="13">
        <v>45472</v>
      </c>
      <c r="N33"/>
      <c r="O33">
        <v>2208</v>
      </c>
      <c r="P33">
        <v>443</v>
      </c>
      <c r="Q33">
        <v>816</v>
      </c>
      <c r="R33"/>
      <c r="S33"/>
      <c r="T33">
        <v>3467</v>
      </c>
    </row>
    <row r="34" spans="1:20">
      <c r="A34" s="13">
        <v>45474</v>
      </c>
      <c r="B34">
        <v>3428</v>
      </c>
      <c r="M34" s="13">
        <v>45473</v>
      </c>
      <c r="N34"/>
      <c r="O34">
        <v>2017</v>
      </c>
      <c r="P34">
        <v>433</v>
      </c>
      <c r="Q34">
        <v>712</v>
      </c>
      <c r="R34"/>
      <c r="S34"/>
      <c r="T34">
        <v>3162</v>
      </c>
    </row>
    <row r="35" spans="1:20">
      <c r="A35" s="13">
        <v>45475</v>
      </c>
      <c r="B35">
        <v>5935</v>
      </c>
      <c r="M35" s="13">
        <v>45474</v>
      </c>
      <c r="N35"/>
      <c r="O35">
        <v>2084</v>
      </c>
      <c r="P35">
        <v>527</v>
      </c>
      <c r="Q35">
        <v>817</v>
      </c>
      <c r="R35"/>
      <c r="S35"/>
      <c r="T35">
        <v>3428</v>
      </c>
    </row>
    <row r="36" spans="1:20">
      <c r="A36" s="13">
        <v>45476</v>
      </c>
      <c r="B36">
        <v>5789</v>
      </c>
      <c r="M36" s="13">
        <v>45475</v>
      </c>
      <c r="N36"/>
      <c r="O36">
        <v>2188</v>
      </c>
      <c r="P36">
        <v>727</v>
      </c>
      <c r="Q36">
        <v>877</v>
      </c>
      <c r="R36"/>
      <c r="S36">
        <v>2143</v>
      </c>
      <c r="T36">
        <v>5935</v>
      </c>
    </row>
    <row r="37" spans="1:20">
      <c r="A37" s="13">
        <v>45477</v>
      </c>
      <c r="B37">
        <v>5814</v>
      </c>
      <c r="M37" s="13">
        <v>45476</v>
      </c>
      <c r="N37"/>
      <c r="O37">
        <v>2175</v>
      </c>
      <c r="P37">
        <v>607</v>
      </c>
      <c r="Q37">
        <v>767</v>
      </c>
      <c r="R37"/>
      <c r="S37">
        <v>2240</v>
      </c>
      <c r="T37">
        <v>5789</v>
      </c>
    </row>
    <row r="38" spans="1:20">
      <c r="A38" s="13">
        <v>45478</v>
      </c>
      <c r="B38">
        <v>6123</v>
      </c>
      <c r="M38" s="13">
        <v>45477</v>
      </c>
      <c r="N38"/>
      <c r="O38">
        <v>2024</v>
      </c>
      <c r="P38">
        <v>642</v>
      </c>
      <c r="Q38">
        <v>826</v>
      </c>
      <c r="R38"/>
      <c r="S38">
        <v>2322</v>
      </c>
      <c r="T38">
        <v>5814</v>
      </c>
    </row>
    <row r="39" spans="1:20">
      <c r="A39" s="13">
        <v>45479</v>
      </c>
      <c r="B39">
        <v>6223</v>
      </c>
      <c r="M39" s="13">
        <v>45478</v>
      </c>
      <c r="N39"/>
      <c r="O39">
        <v>2143</v>
      </c>
      <c r="P39">
        <v>565</v>
      </c>
      <c r="Q39">
        <v>917</v>
      </c>
      <c r="R39"/>
      <c r="S39">
        <v>2498</v>
      </c>
      <c r="T39">
        <v>6123</v>
      </c>
    </row>
    <row r="40" spans="1:20">
      <c r="A40" s="13">
        <v>45480</v>
      </c>
      <c r="B40">
        <v>7951</v>
      </c>
      <c r="M40" s="13">
        <v>45479</v>
      </c>
      <c r="N40"/>
      <c r="O40">
        <v>2253</v>
      </c>
      <c r="P40">
        <v>771</v>
      </c>
      <c r="Q40">
        <v>1096</v>
      </c>
      <c r="R40"/>
      <c r="S40">
        <v>2103</v>
      </c>
      <c r="T40">
        <v>6223</v>
      </c>
    </row>
    <row r="41" spans="1:20">
      <c r="A41" s="13">
        <v>45481</v>
      </c>
      <c r="B41">
        <v>7919</v>
      </c>
      <c r="M41" s="13">
        <v>45480</v>
      </c>
      <c r="N41">
        <v>2441</v>
      </c>
      <c r="O41">
        <v>1876</v>
      </c>
      <c r="P41">
        <v>521</v>
      </c>
      <c r="Q41">
        <v>916</v>
      </c>
      <c r="R41"/>
      <c r="S41">
        <v>2197</v>
      </c>
      <c r="T41">
        <v>7951</v>
      </c>
    </row>
    <row r="42" spans="1:20">
      <c r="A42" s="13">
        <v>45482</v>
      </c>
      <c r="B42">
        <v>8327</v>
      </c>
      <c r="M42" s="13">
        <v>45481</v>
      </c>
      <c r="N42">
        <v>2479</v>
      </c>
      <c r="O42">
        <v>1880</v>
      </c>
      <c r="P42">
        <v>595</v>
      </c>
      <c r="Q42">
        <v>850</v>
      </c>
      <c r="R42"/>
      <c r="S42">
        <v>2115</v>
      </c>
      <c r="T42">
        <v>7919</v>
      </c>
    </row>
    <row r="43" spans="1:20">
      <c r="A43" s="13">
        <v>45483</v>
      </c>
      <c r="B43">
        <v>8324</v>
      </c>
      <c r="M43" s="13">
        <v>45482</v>
      </c>
      <c r="N43">
        <v>2563</v>
      </c>
      <c r="O43">
        <v>1877</v>
      </c>
      <c r="P43">
        <v>577</v>
      </c>
      <c r="Q43">
        <v>783</v>
      </c>
      <c r="R43"/>
      <c r="S43">
        <v>2527</v>
      </c>
      <c r="T43">
        <v>8327</v>
      </c>
    </row>
    <row r="44" spans="1:20">
      <c r="A44" s="13">
        <v>45484</v>
      </c>
      <c r="B44">
        <v>8606</v>
      </c>
      <c r="M44" s="13">
        <v>45483</v>
      </c>
      <c r="N44">
        <v>2663</v>
      </c>
      <c r="O44">
        <v>2143</v>
      </c>
      <c r="P44">
        <v>467</v>
      </c>
      <c r="Q44">
        <v>905</v>
      </c>
      <c r="R44"/>
      <c r="S44">
        <v>2146</v>
      </c>
      <c r="T44">
        <v>8324</v>
      </c>
    </row>
    <row r="45" spans="1:20">
      <c r="A45" s="13">
        <v>45485</v>
      </c>
      <c r="B45">
        <v>9043</v>
      </c>
      <c r="M45" s="13">
        <v>45484</v>
      </c>
      <c r="N45">
        <v>2600</v>
      </c>
      <c r="O45">
        <v>2240</v>
      </c>
      <c r="P45">
        <v>532</v>
      </c>
      <c r="Q45">
        <v>827</v>
      </c>
      <c r="R45"/>
      <c r="S45">
        <v>2407</v>
      </c>
      <c r="T45">
        <v>8606</v>
      </c>
    </row>
    <row r="46" spans="1:20">
      <c r="A46" s="13">
        <v>45486</v>
      </c>
      <c r="B46">
        <v>11558</v>
      </c>
      <c r="M46" s="13">
        <v>45485</v>
      </c>
      <c r="N46">
        <v>2752</v>
      </c>
      <c r="O46">
        <v>2322</v>
      </c>
      <c r="P46">
        <v>558</v>
      </c>
      <c r="Q46">
        <v>968</v>
      </c>
      <c r="R46"/>
      <c r="S46">
        <v>2443</v>
      </c>
      <c r="T46">
        <v>9043</v>
      </c>
    </row>
    <row r="47" spans="1:20">
      <c r="A47" s="13">
        <v>45487</v>
      </c>
      <c r="B47">
        <v>7969</v>
      </c>
      <c r="M47" s="13">
        <v>45486</v>
      </c>
      <c r="N47">
        <v>3142</v>
      </c>
      <c r="O47">
        <v>2498</v>
      </c>
      <c r="P47">
        <v>575</v>
      </c>
      <c r="Q47">
        <v>1072</v>
      </c>
      <c r="R47">
        <v>2143</v>
      </c>
      <c r="S47">
        <v>2128</v>
      </c>
      <c r="T47">
        <v>11558</v>
      </c>
    </row>
    <row r="48" spans="1:20">
      <c r="A48" s="13">
        <v>45488</v>
      </c>
      <c r="B48">
        <v>8107</v>
      </c>
      <c r="M48" s="13">
        <v>45487</v>
      </c>
      <c r="N48"/>
      <c r="O48">
        <v>2103</v>
      </c>
      <c r="P48">
        <v>467</v>
      </c>
      <c r="Q48">
        <v>863</v>
      </c>
      <c r="R48">
        <v>2240</v>
      </c>
      <c r="S48">
        <v>2296</v>
      </c>
      <c r="T48">
        <v>7969</v>
      </c>
    </row>
    <row r="49" spans="1:20">
      <c r="A49" s="13">
        <v>45489</v>
      </c>
      <c r="B49">
        <v>8226</v>
      </c>
      <c r="M49" s="13">
        <v>45488</v>
      </c>
      <c r="N49"/>
      <c r="O49">
        <v>2197</v>
      </c>
      <c r="P49">
        <v>567</v>
      </c>
      <c r="Q49">
        <v>887</v>
      </c>
      <c r="R49">
        <v>2322</v>
      </c>
      <c r="S49">
        <v>2134</v>
      </c>
      <c r="T49">
        <v>8107</v>
      </c>
    </row>
    <row r="50" spans="1:20">
      <c r="A50" s="13">
        <v>45490</v>
      </c>
      <c r="B50">
        <v>8027</v>
      </c>
      <c r="M50" s="13">
        <v>45489</v>
      </c>
      <c r="N50"/>
      <c r="O50">
        <v>2115</v>
      </c>
      <c r="P50">
        <v>504</v>
      </c>
      <c r="Q50">
        <v>763</v>
      </c>
      <c r="R50">
        <v>2498</v>
      </c>
      <c r="S50">
        <v>2346</v>
      </c>
      <c r="T50">
        <v>8226</v>
      </c>
    </row>
    <row r="51" spans="1:20">
      <c r="A51" s="13">
        <v>45491</v>
      </c>
      <c r="B51">
        <v>7937</v>
      </c>
      <c r="M51" s="13">
        <v>45490</v>
      </c>
      <c r="N51"/>
      <c r="O51">
        <v>2527</v>
      </c>
      <c r="P51">
        <v>498</v>
      </c>
      <c r="Q51">
        <v>826</v>
      </c>
      <c r="R51">
        <v>2103</v>
      </c>
      <c r="S51">
        <v>2073</v>
      </c>
      <c r="T51">
        <v>8027</v>
      </c>
    </row>
    <row r="52" spans="1:20">
      <c r="A52" s="13">
        <v>45492</v>
      </c>
      <c r="B52">
        <v>8599</v>
      </c>
      <c r="M52" s="13">
        <v>45491</v>
      </c>
      <c r="N52"/>
      <c r="O52">
        <v>2146</v>
      </c>
      <c r="P52">
        <v>491</v>
      </c>
      <c r="Q52">
        <v>747</v>
      </c>
      <c r="R52">
        <v>2197</v>
      </c>
      <c r="S52">
        <v>2356</v>
      </c>
      <c r="T52">
        <v>7937</v>
      </c>
    </row>
    <row r="53" spans="1:20">
      <c r="A53" s="13">
        <v>45493</v>
      </c>
      <c r="B53">
        <v>9260</v>
      </c>
      <c r="M53" s="13">
        <v>45492</v>
      </c>
      <c r="N53"/>
      <c r="O53">
        <v>2407</v>
      </c>
      <c r="P53">
        <v>825</v>
      </c>
      <c r="Q53">
        <v>870</v>
      </c>
      <c r="R53">
        <v>2115</v>
      </c>
      <c r="S53">
        <v>2382</v>
      </c>
      <c r="T53">
        <v>8599</v>
      </c>
    </row>
    <row r="54" spans="1:20">
      <c r="A54" s="13">
        <v>45494</v>
      </c>
      <c r="B54">
        <v>7750</v>
      </c>
      <c r="M54" s="13">
        <v>45493</v>
      </c>
      <c r="N54"/>
      <c r="O54">
        <v>2443</v>
      </c>
      <c r="P54">
        <v>1014</v>
      </c>
      <c r="Q54">
        <v>1061</v>
      </c>
      <c r="R54">
        <v>2527</v>
      </c>
      <c r="S54">
        <v>2215</v>
      </c>
      <c r="T54">
        <v>9260</v>
      </c>
    </row>
    <row r="55" spans="1:20">
      <c r="A55" s="13">
        <v>45495</v>
      </c>
      <c r="B55">
        <v>10727</v>
      </c>
      <c r="M55" s="13">
        <v>45494</v>
      </c>
      <c r="N55"/>
      <c r="O55">
        <v>2128</v>
      </c>
      <c r="P55">
        <v>440</v>
      </c>
      <c r="Q55">
        <v>819</v>
      </c>
      <c r="R55">
        <v>2146</v>
      </c>
      <c r="S55">
        <v>2217</v>
      </c>
      <c r="T55">
        <v>7750</v>
      </c>
    </row>
    <row r="56" spans="1:20">
      <c r="A56" s="13">
        <v>45496</v>
      </c>
      <c r="B56">
        <v>11204</v>
      </c>
      <c r="M56" s="13">
        <v>45495</v>
      </c>
      <c r="N56">
        <v>2441</v>
      </c>
      <c r="O56">
        <v>2296</v>
      </c>
      <c r="P56">
        <v>481</v>
      </c>
      <c r="Q56">
        <v>914</v>
      </c>
      <c r="R56">
        <v>2407</v>
      </c>
      <c r="S56">
        <v>2188</v>
      </c>
      <c r="T56">
        <v>10727</v>
      </c>
    </row>
    <row r="57" spans="1:20">
      <c r="A57" s="13">
        <v>45497</v>
      </c>
      <c r="B57">
        <v>8794</v>
      </c>
      <c r="M57" s="13">
        <v>45496</v>
      </c>
      <c r="N57">
        <v>2479</v>
      </c>
      <c r="O57">
        <v>2134</v>
      </c>
      <c r="P57">
        <v>820</v>
      </c>
      <c r="Q57">
        <v>972</v>
      </c>
      <c r="R57">
        <v>2443</v>
      </c>
      <c r="S57">
        <v>2356</v>
      </c>
      <c r="T57">
        <v>11204</v>
      </c>
    </row>
    <row r="58" spans="1:20">
      <c r="A58" s="13">
        <v>45498</v>
      </c>
      <c r="B58">
        <v>8396</v>
      </c>
      <c r="M58" s="13">
        <v>45497</v>
      </c>
      <c r="N58">
        <v>2563</v>
      </c>
      <c r="O58">
        <v>2346</v>
      </c>
      <c r="P58">
        <v>767</v>
      </c>
      <c r="Q58">
        <v>990</v>
      </c>
      <c r="R58">
        <v>2128</v>
      </c>
      <c r="S58"/>
      <c r="T58">
        <v>8794</v>
      </c>
    </row>
    <row r="59" spans="1:20">
      <c r="A59" s="13">
        <v>45499</v>
      </c>
      <c r="B59">
        <v>9310</v>
      </c>
      <c r="M59" s="13">
        <v>45498</v>
      </c>
      <c r="N59">
        <v>2663</v>
      </c>
      <c r="O59">
        <v>2073</v>
      </c>
      <c r="P59">
        <v>506</v>
      </c>
      <c r="Q59">
        <v>858</v>
      </c>
      <c r="R59">
        <v>2296</v>
      </c>
      <c r="S59"/>
      <c r="T59">
        <v>8396</v>
      </c>
    </row>
    <row r="60" spans="1:20">
      <c r="A60" s="13">
        <v>45500</v>
      </c>
      <c r="B60">
        <v>9275</v>
      </c>
      <c r="M60" s="13">
        <v>45499</v>
      </c>
      <c r="N60">
        <v>2600</v>
      </c>
      <c r="O60">
        <v>2356</v>
      </c>
      <c r="P60">
        <v>1256</v>
      </c>
      <c r="Q60">
        <v>964</v>
      </c>
      <c r="R60">
        <v>2134</v>
      </c>
      <c r="S60"/>
      <c r="T60">
        <v>9310</v>
      </c>
    </row>
    <row r="61" spans="1:20">
      <c r="A61" s="13">
        <v>45501</v>
      </c>
      <c r="B61">
        <v>8817</v>
      </c>
      <c r="M61" s="13">
        <v>45500</v>
      </c>
      <c r="N61">
        <v>2752</v>
      </c>
      <c r="O61">
        <v>2382</v>
      </c>
      <c r="P61">
        <v>781</v>
      </c>
      <c r="Q61">
        <v>1014</v>
      </c>
      <c r="R61">
        <v>2346</v>
      </c>
      <c r="S61"/>
      <c r="T61">
        <v>9275</v>
      </c>
    </row>
    <row r="62" spans="1:20">
      <c r="A62" s="13">
        <v>45502</v>
      </c>
      <c r="B62">
        <v>5977</v>
      </c>
      <c r="M62" s="13">
        <v>45501</v>
      </c>
      <c r="N62">
        <v>3142</v>
      </c>
      <c r="O62">
        <v>2215</v>
      </c>
      <c r="P62">
        <v>547</v>
      </c>
      <c r="Q62">
        <v>840</v>
      </c>
      <c r="R62">
        <v>2073</v>
      </c>
      <c r="S62"/>
      <c r="T62">
        <v>8817</v>
      </c>
    </row>
    <row r="63" spans="1:20">
      <c r="A63" s="13">
        <v>45503</v>
      </c>
      <c r="B63">
        <v>6172</v>
      </c>
      <c r="M63" s="13">
        <v>45502</v>
      </c>
      <c r="N63"/>
      <c r="O63">
        <v>2217</v>
      </c>
      <c r="P63">
        <v>579</v>
      </c>
      <c r="Q63">
        <v>825</v>
      </c>
      <c r="R63">
        <v>2356</v>
      </c>
      <c r="S63"/>
      <c r="T63">
        <v>5977</v>
      </c>
    </row>
    <row r="64" spans="1:20">
      <c r="A64" s="13">
        <v>45504</v>
      </c>
      <c r="B64">
        <v>6191</v>
      </c>
      <c r="M64" s="13">
        <v>45503</v>
      </c>
      <c r="N64"/>
      <c r="O64">
        <v>2188</v>
      </c>
      <c r="P64">
        <v>710</v>
      </c>
      <c r="Q64">
        <v>892</v>
      </c>
      <c r="R64">
        <v>2382</v>
      </c>
      <c r="S64"/>
      <c r="T64">
        <v>6172</v>
      </c>
    </row>
    <row r="65" spans="1:20">
      <c r="A65" s="13">
        <v>45505</v>
      </c>
      <c r="B65">
        <v>6064</v>
      </c>
      <c r="M65" s="13">
        <v>45504</v>
      </c>
      <c r="N65"/>
      <c r="O65">
        <v>2356</v>
      </c>
      <c r="P65">
        <v>634</v>
      </c>
      <c r="Q65">
        <v>986</v>
      </c>
      <c r="R65">
        <v>2215</v>
      </c>
      <c r="S65"/>
      <c r="T65">
        <v>6191</v>
      </c>
    </row>
    <row r="66" spans="1:20">
      <c r="A66" s="13">
        <v>45506</v>
      </c>
      <c r="B66">
        <v>6494</v>
      </c>
      <c r="M66" s="13">
        <v>45505</v>
      </c>
      <c r="N66"/>
      <c r="O66">
        <v>2322</v>
      </c>
      <c r="P66">
        <v>680</v>
      </c>
      <c r="Q66">
        <v>845</v>
      </c>
      <c r="R66">
        <v>2217</v>
      </c>
      <c r="S66"/>
      <c r="T66">
        <v>6064</v>
      </c>
    </row>
    <row r="67" spans="1:20">
      <c r="A67" s="13">
        <v>45507</v>
      </c>
      <c r="B67">
        <v>7127</v>
      </c>
      <c r="M67" s="13">
        <v>45506</v>
      </c>
      <c r="N67"/>
      <c r="O67">
        <v>2607</v>
      </c>
      <c r="P67">
        <v>738</v>
      </c>
      <c r="Q67">
        <v>961</v>
      </c>
      <c r="R67">
        <v>2188</v>
      </c>
      <c r="S67"/>
      <c r="T67">
        <v>6494</v>
      </c>
    </row>
    <row r="68" spans="1:20">
      <c r="A68" s="13">
        <v>45508</v>
      </c>
      <c r="B68">
        <v>3978</v>
      </c>
      <c r="M68" s="13">
        <v>45507</v>
      </c>
      <c r="N68"/>
      <c r="O68">
        <v>2997</v>
      </c>
      <c r="P68">
        <v>731</v>
      </c>
      <c r="Q68">
        <v>1043</v>
      </c>
      <c r="R68">
        <v>2356</v>
      </c>
      <c r="S68"/>
      <c r="T68">
        <v>7127</v>
      </c>
    </row>
    <row r="69" spans="1:20">
      <c r="A69" s="13">
        <v>45509</v>
      </c>
      <c r="B69">
        <v>4228</v>
      </c>
      <c r="M69" s="13">
        <v>45508</v>
      </c>
      <c r="N69"/>
      <c r="O69">
        <v>2496</v>
      </c>
      <c r="P69">
        <v>669</v>
      </c>
      <c r="Q69">
        <v>813</v>
      </c>
      <c r="R69"/>
      <c r="S69"/>
      <c r="T69">
        <v>3978</v>
      </c>
    </row>
    <row r="70" spans="1:20">
      <c r="A70" s="13">
        <v>45510</v>
      </c>
      <c r="B70">
        <v>3964</v>
      </c>
      <c r="M70" s="13">
        <v>45509</v>
      </c>
      <c r="N70"/>
      <c r="O70">
        <v>2603</v>
      </c>
      <c r="P70">
        <v>722</v>
      </c>
      <c r="Q70">
        <v>903</v>
      </c>
      <c r="R70"/>
      <c r="S70"/>
      <c r="T70">
        <v>4228</v>
      </c>
    </row>
    <row r="71" spans="1:20">
      <c r="A71" s="13">
        <v>45511</v>
      </c>
      <c r="B71">
        <v>4170</v>
      </c>
      <c r="M71" s="13">
        <v>45510</v>
      </c>
      <c r="N71"/>
      <c r="O71">
        <v>2504</v>
      </c>
      <c r="P71">
        <v>599</v>
      </c>
      <c r="Q71">
        <v>861</v>
      </c>
      <c r="R71"/>
      <c r="S71"/>
      <c r="T71">
        <v>3964</v>
      </c>
    </row>
    <row r="72" spans="1:20">
      <c r="A72" s="13">
        <v>45512</v>
      </c>
      <c r="B72">
        <v>3829</v>
      </c>
      <c r="M72" s="13">
        <v>45511</v>
      </c>
      <c r="N72"/>
      <c r="O72">
        <v>2657</v>
      </c>
      <c r="P72">
        <v>664</v>
      </c>
      <c r="Q72">
        <v>849</v>
      </c>
      <c r="R72"/>
      <c r="S72"/>
      <c r="T72">
        <v>4170</v>
      </c>
    </row>
    <row r="73" spans="1:20">
      <c r="A73" s="13">
        <v>45513</v>
      </c>
      <c r="B73">
        <v>3534</v>
      </c>
      <c r="M73" s="13">
        <v>45512</v>
      </c>
      <c r="N73"/>
      <c r="O73">
        <v>2400</v>
      </c>
      <c r="P73">
        <v>601</v>
      </c>
      <c r="Q73">
        <v>828</v>
      </c>
      <c r="R73"/>
      <c r="S73"/>
      <c r="T73">
        <v>3829</v>
      </c>
    </row>
    <row r="74" spans="1:20">
      <c r="A74" s="13">
        <v>45514</v>
      </c>
      <c r="B74">
        <v>4549</v>
      </c>
      <c r="M74" s="13">
        <v>45513</v>
      </c>
      <c r="N74"/>
      <c r="O74">
        <v>2156</v>
      </c>
      <c r="P74">
        <v>540</v>
      </c>
      <c r="Q74">
        <v>838</v>
      </c>
      <c r="R74"/>
      <c r="S74"/>
      <c r="T74">
        <v>3534</v>
      </c>
    </row>
    <row r="75" spans="1:20">
      <c r="A75" s="13">
        <v>45515</v>
      </c>
      <c r="B75">
        <v>3684</v>
      </c>
      <c r="M75" s="13">
        <v>45514</v>
      </c>
      <c r="N75"/>
      <c r="O75">
        <v>2953</v>
      </c>
      <c r="P75">
        <v>698</v>
      </c>
      <c r="Q75">
        <v>898</v>
      </c>
      <c r="R75"/>
      <c r="S75"/>
      <c r="T75">
        <v>4549</v>
      </c>
    </row>
    <row r="76" spans="1:20">
      <c r="A76" s="13">
        <v>45516</v>
      </c>
      <c r="B76">
        <v>3903</v>
      </c>
      <c r="M76" s="13">
        <v>45515</v>
      </c>
      <c r="N76"/>
      <c r="O76">
        <v>2372</v>
      </c>
      <c r="P76">
        <v>586</v>
      </c>
      <c r="Q76">
        <v>726</v>
      </c>
      <c r="R76"/>
      <c r="S76"/>
      <c r="T76">
        <v>3684</v>
      </c>
    </row>
    <row r="77" spans="1:20">
      <c r="A77" s="13">
        <v>45517</v>
      </c>
      <c r="B77">
        <v>3941</v>
      </c>
      <c r="M77" s="13">
        <v>45516</v>
      </c>
      <c r="N77"/>
      <c r="O77">
        <v>2492</v>
      </c>
      <c r="P77">
        <v>613</v>
      </c>
      <c r="Q77">
        <v>798</v>
      </c>
      <c r="R77"/>
      <c r="S77"/>
      <c r="T77">
        <v>3903</v>
      </c>
    </row>
    <row r="78" spans="1:20">
      <c r="A78" s="13">
        <v>45518</v>
      </c>
      <c r="B78">
        <v>4203</v>
      </c>
      <c r="M78" s="13">
        <v>45517</v>
      </c>
      <c r="N78"/>
      <c r="O78">
        <v>2422</v>
      </c>
      <c r="P78">
        <v>637</v>
      </c>
      <c r="Q78">
        <v>882</v>
      </c>
      <c r="R78"/>
      <c r="S78"/>
      <c r="T78">
        <v>3941</v>
      </c>
    </row>
    <row r="79" spans="1:20">
      <c r="A79" s="13">
        <v>45519</v>
      </c>
      <c r="B79">
        <v>4497</v>
      </c>
      <c r="M79" s="13">
        <v>45518</v>
      </c>
      <c r="N79"/>
      <c r="O79">
        <v>2517</v>
      </c>
      <c r="P79">
        <v>809</v>
      </c>
      <c r="Q79">
        <v>877</v>
      </c>
      <c r="R79"/>
      <c r="S79"/>
      <c r="T79">
        <v>4203</v>
      </c>
    </row>
    <row r="80" spans="1:20">
      <c r="A80" s="13">
        <v>45520</v>
      </c>
      <c r="B80">
        <v>3912</v>
      </c>
      <c r="M80" s="13">
        <v>45519</v>
      </c>
      <c r="N80"/>
      <c r="O80">
        <v>2679</v>
      </c>
      <c r="P80">
        <v>966</v>
      </c>
      <c r="Q80">
        <v>852</v>
      </c>
      <c r="R80"/>
      <c r="S80"/>
      <c r="T80">
        <v>4497</v>
      </c>
    </row>
    <row r="81" spans="1:20">
      <c r="A81" s="13">
        <v>45521</v>
      </c>
      <c r="B81">
        <v>4075</v>
      </c>
      <c r="M81" s="13">
        <v>45520</v>
      </c>
      <c r="N81"/>
      <c r="O81">
        <v>2416</v>
      </c>
      <c r="P81">
        <v>751</v>
      </c>
      <c r="Q81">
        <v>745</v>
      </c>
      <c r="R81"/>
      <c r="S81"/>
      <c r="T81">
        <v>3912</v>
      </c>
    </row>
    <row r="82" spans="1:20">
      <c r="A82" s="13">
        <v>45522</v>
      </c>
      <c r="B82">
        <v>4834</v>
      </c>
      <c r="M82" s="13">
        <v>45521</v>
      </c>
      <c r="N82"/>
      <c r="O82">
        <v>2602</v>
      </c>
      <c r="P82">
        <v>760</v>
      </c>
      <c r="Q82">
        <v>713</v>
      </c>
      <c r="R82"/>
      <c r="S82"/>
      <c r="T82">
        <v>4075</v>
      </c>
    </row>
    <row r="83" spans="1:20">
      <c r="A83" s="13">
        <v>45523</v>
      </c>
      <c r="B83">
        <v>5234</v>
      </c>
      <c r="M83" s="13">
        <v>45522</v>
      </c>
      <c r="N83"/>
      <c r="O83">
        <v>2407</v>
      </c>
      <c r="P83">
        <v>650</v>
      </c>
      <c r="Q83">
        <v>819</v>
      </c>
      <c r="R83"/>
      <c r="S83">
        <v>958</v>
      </c>
      <c r="T83">
        <v>4834</v>
      </c>
    </row>
    <row r="84" spans="1:20">
      <c r="A84" s="13">
        <v>45524</v>
      </c>
      <c r="B84">
        <v>5161</v>
      </c>
      <c r="M84" s="13">
        <v>45523</v>
      </c>
      <c r="N84"/>
      <c r="O84">
        <v>2521</v>
      </c>
      <c r="P84">
        <v>717</v>
      </c>
      <c r="Q84">
        <v>995</v>
      </c>
      <c r="R84"/>
      <c r="S84">
        <v>1001</v>
      </c>
      <c r="T84">
        <v>5234</v>
      </c>
    </row>
    <row r="85" spans="1:20">
      <c r="A85" s="13">
        <v>45525</v>
      </c>
      <c r="B85">
        <v>5290</v>
      </c>
      <c r="M85" s="13">
        <v>45524</v>
      </c>
      <c r="N85"/>
      <c r="O85">
        <v>2612</v>
      </c>
      <c r="P85">
        <v>729</v>
      </c>
      <c r="Q85">
        <v>944</v>
      </c>
      <c r="R85"/>
      <c r="S85">
        <v>876</v>
      </c>
      <c r="T85">
        <v>5161</v>
      </c>
    </row>
    <row r="86" spans="1:20">
      <c r="A86" s="13">
        <v>45526</v>
      </c>
      <c r="B86">
        <v>5069</v>
      </c>
      <c r="M86" s="13">
        <v>45525</v>
      </c>
      <c r="N86"/>
      <c r="O86">
        <v>2734</v>
      </c>
      <c r="P86">
        <v>670</v>
      </c>
      <c r="Q86">
        <v>1001</v>
      </c>
      <c r="R86"/>
      <c r="S86">
        <v>885</v>
      </c>
      <c r="T86">
        <v>5290</v>
      </c>
    </row>
    <row r="87" spans="1:20">
      <c r="A87" s="13">
        <v>45527</v>
      </c>
      <c r="B87">
        <v>7203</v>
      </c>
      <c r="M87" s="13">
        <v>45526</v>
      </c>
      <c r="N87"/>
      <c r="O87">
        <v>2541</v>
      </c>
      <c r="P87">
        <v>693</v>
      </c>
      <c r="Q87">
        <v>896</v>
      </c>
      <c r="R87"/>
      <c r="S87">
        <v>939</v>
      </c>
      <c r="T87">
        <v>5069</v>
      </c>
    </row>
    <row r="88" spans="1:20">
      <c r="A88" s="13">
        <v>45528</v>
      </c>
      <c r="B88">
        <v>7566</v>
      </c>
      <c r="M88" s="13">
        <v>45527</v>
      </c>
      <c r="N88">
        <v>958</v>
      </c>
      <c r="O88">
        <v>2748</v>
      </c>
      <c r="P88">
        <v>659</v>
      </c>
      <c r="Q88">
        <v>958</v>
      </c>
      <c r="R88">
        <v>958</v>
      </c>
      <c r="S88">
        <v>922</v>
      </c>
      <c r="T88">
        <v>7203</v>
      </c>
    </row>
    <row r="89" spans="1:20">
      <c r="A89" s="13">
        <v>45529</v>
      </c>
      <c r="B89">
        <v>6601</v>
      </c>
      <c r="M89" s="13">
        <v>45528</v>
      </c>
      <c r="N89">
        <v>1001</v>
      </c>
      <c r="O89">
        <v>2995</v>
      </c>
      <c r="P89">
        <v>701</v>
      </c>
      <c r="Q89">
        <v>1001</v>
      </c>
      <c r="R89">
        <v>1001</v>
      </c>
      <c r="S89">
        <v>867</v>
      </c>
      <c r="T89">
        <v>7566</v>
      </c>
    </row>
    <row r="90" spans="1:20">
      <c r="A90" s="13">
        <v>45530</v>
      </c>
      <c r="B90">
        <v>6743</v>
      </c>
      <c r="M90" s="13">
        <v>45529</v>
      </c>
      <c r="N90">
        <v>876</v>
      </c>
      <c r="O90">
        <v>2441</v>
      </c>
      <c r="P90">
        <v>628</v>
      </c>
      <c r="Q90">
        <v>876</v>
      </c>
      <c r="R90">
        <v>876</v>
      </c>
      <c r="S90">
        <v>904</v>
      </c>
      <c r="T90">
        <v>6601</v>
      </c>
    </row>
    <row r="91" spans="1:20">
      <c r="A91" s="13">
        <v>45531</v>
      </c>
      <c r="B91">
        <v>6064</v>
      </c>
      <c r="M91" s="13">
        <v>45530</v>
      </c>
      <c r="N91">
        <v>885</v>
      </c>
      <c r="O91">
        <v>2479</v>
      </c>
      <c r="P91">
        <v>721</v>
      </c>
      <c r="Q91">
        <v>885</v>
      </c>
      <c r="R91">
        <v>885</v>
      </c>
      <c r="S91">
        <v>888</v>
      </c>
      <c r="T91">
        <v>6743</v>
      </c>
    </row>
    <row r="92" spans="1:20">
      <c r="A92" s="13">
        <v>45532</v>
      </c>
      <c r="B92">
        <v>6125</v>
      </c>
      <c r="M92" s="13">
        <v>45531</v>
      </c>
      <c r="N92">
        <v>939</v>
      </c>
      <c r="O92">
        <v>2563</v>
      </c>
      <c r="P92">
        <v>684</v>
      </c>
      <c r="Q92">
        <v>939</v>
      </c>
      <c r="R92">
        <v>939</v>
      </c>
      <c r="S92"/>
      <c r="T92">
        <v>6064</v>
      </c>
    </row>
    <row r="93" spans="1:20">
      <c r="A93" s="13">
        <v>45533</v>
      </c>
      <c r="B93">
        <v>5980</v>
      </c>
      <c r="M93" s="13">
        <v>45532</v>
      </c>
      <c r="N93">
        <v>922</v>
      </c>
      <c r="O93">
        <v>2663</v>
      </c>
      <c r="P93">
        <v>696</v>
      </c>
      <c r="Q93">
        <v>922</v>
      </c>
      <c r="R93">
        <v>922</v>
      </c>
      <c r="S93"/>
      <c r="T93">
        <v>6125</v>
      </c>
    </row>
    <row r="94" spans="1:20">
      <c r="A94" s="13">
        <v>45534</v>
      </c>
      <c r="B94">
        <v>6243</v>
      </c>
      <c r="M94" s="13">
        <v>45533</v>
      </c>
      <c r="N94">
        <v>867</v>
      </c>
      <c r="O94">
        <v>2600</v>
      </c>
      <c r="P94">
        <v>779</v>
      </c>
      <c r="Q94">
        <v>867</v>
      </c>
      <c r="R94">
        <v>867</v>
      </c>
      <c r="S94"/>
      <c r="T94">
        <v>5980</v>
      </c>
    </row>
    <row r="95" spans="1:20">
      <c r="A95" s="13">
        <v>45535</v>
      </c>
      <c r="B95">
        <v>6575</v>
      </c>
      <c r="M95" s="13">
        <v>45534</v>
      </c>
      <c r="N95">
        <v>904</v>
      </c>
      <c r="O95">
        <v>2752</v>
      </c>
      <c r="P95">
        <v>779</v>
      </c>
      <c r="Q95">
        <v>904</v>
      </c>
      <c r="R95">
        <v>904</v>
      </c>
      <c r="S95"/>
      <c r="T95">
        <v>6243</v>
      </c>
    </row>
    <row r="96" spans="1:20">
      <c r="A96" s="12" t="s">
        <v>211</v>
      </c>
      <c r="B96">
        <v>563908</v>
      </c>
      <c r="M96" s="13">
        <v>45535</v>
      </c>
      <c r="N96">
        <v>888</v>
      </c>
      <c r="O96">
        <v>3142</v>
      </c>
      <c r="P96">
        <v>769</v>
      </c>
      <c r="Q96">
        <v>888</v>
      </c>
      <c r="R96">
        <v>888</v>
      </c>
      <c r="S96"/>
      <c r="T96">
        <v>6575</v>
      </c>
    </row>
    <row r="97" spans="13:20">
      <c r="M97" s="12" t="s">
        <v>211</v>
      </c>
      <c r="N97">
        <v>64160</v>
      </c>
      <c r="O97">
        <v>214244</v>
      </c>
      <c r="P97">
        <v>52282</v>
      </c>
      <c r="Q97">
        <v>79798</v>
      </c>
      <c r="R97">
        <v>58072</v>
      </c>
      <c r="S97">
        <v>95352</v>
      </c>
      <c r="T97">
        <v>563908</v>
      </c>
    </row>
    <row r="98" spans="13:20">
      <c r="M98"/>
      <c r="N98"/>
      <c r="O98"/>
      <c r="P98"/>
      <c r="Q98"/>
      <c r="R98"/>
      <c r="S98"/>
      <c r="T98"/>
    </row>
    <row r="99" spans="13:20">
      <c r="M99"/>
      <c r="N99"/>
      <c r="O99"/>
      <c r="P99"/>
      <c r="Q99"/>
      <c r="R99"/>
      <c r="S99"/>
      <c r="T99"/>
    </row>
    <row r="100" spans="13:20">
      <c r="M100"/>
      <c r="N100"/>
      <c r="O100"/>
      <c r="P100"/>
      <c r="Q100"/>
      <c r="R100"/>
      <c r="S100"/>
      <c r="T100"/>
    </row>
    <row r="101" spans="13:20">
      <c r="M101" s="11" t="s">
        <v>216</v>
      </c>
      <c r="N101" s="11" t="s">
        <v>217</v>
      </c>
      <c r="O101"/>
      <c r="P101"/>
      <c r="Q101"/>
      <c r="R101"/>
      <c r="S101"/>
      <c r="T101"/>
    </row>
    <row r="102" spans="13:20">
      <c r="M102" s="11" t="s">
        <v>215</v>
      </c>
      <c r="N102" t="s">
        <v>114</v>
      </c>
      <c r="O102" t="s">
        <v>0</v>
      </c>
      <c r="P102" t="s">
        <v>110</v>
      </c>
      <c r="Q102" t="s">
        <v>111</v>
      </c>
      <c r="R102" t="s">
        <v>112</v>
      </c>
      <c r="S102" t="s">
        <v>113</v>
      </c>
      <c r="T102" t="s">
        <v>211</v>
      </c>
    </row>
    <row r="103" spans="13:20">
      <c r="M103" s="12">
        <v>22</v>
      </c>
      <c r="N103"/>
      <c r="O103">
        <v>2491</v>
      </c>
      <c r="P103">
        <v>399</v>
      </c>
      <c r="Q103">
        <v>888</v>
      </c>
      <c r="R103"/>
      <c r="S103">
        <v>2441</v>
      </c>
      <c r="T103">
        <v>6219</v>
      </c>
    </row>
    <row r="104" spans="13:20">
      <c r="M104" s="12">
        <v>23</v>
      </c>
      <c r="N104"/>
      <c r="O104">
        <v>15700</v>
      </c>
      <c r="P104">
        <v>2510</v>
      </c>
      <c r="Q104">
        <v>5742</v>
      </c>
      <c r="R104"/>
      <c r="S104">
        <v>16199</v>
      </c>
      <c r="T104">
        <v>40151</v>
      </c>
    </row>
    <row r="105" spans="13:20">
      <c r="M105" s="12">
        <v>24</v>
      </c>
      <c r="N105"/>
      <c r="O105">
        <v>16101</v>
      </c>
      <c r="P105">
        <v>2633</v>
      </c>
      <c r="Q105">
        <v>6520</v>
      </c>
      <c r="R105"/>
      <c r="S105"/>
      <c r="T105">
        <v>25254</v>
      </c>
    </row>
    <row r="106" spans="13:20">
      <c r="M106" s="12">
        <v>25</v>
      </c>
      <c r="N106">
        <v>18640</v>
      </c>
      <c r="O106">
        <v>14752</v>
      </c>
      <c r="P106">
        <v>2646</v>
      </c>
      <c r="Q106">
        <v>5835</v>
      </c>
      <c r="R106"/>
      <c r="S106">
        <v>4920</v>
      </c>
      <c r="T106">
        <v>46793</v>
      </c>
    </row>
    <row r="107" spans="13:20">
      <c r="M107" s="12">
        <v>26</v>
      </c>
      <c r="N107"/>
      <c r="O107">
        <v>14458</v>
      </c>
      <c r="P107">
        <v>2471</v>
      </c>
      <c r="Q107">
        <v>5062</v>
      </c>
      <c r="R107"/>
      <c r="S107">
        <v>13720</v>
      </c>
      <c r="T107">
        <v>35711</v>
      </c>
    </row>
    <row r="108" spans="13:20">
      <c r="M108" s="12">
        <v>27</v>
      </c>
      <c r="N108"/>
      <c r="O108">
        <v>14884</v>
      </c>
      <c r="P108">
        <v>4272</v>
      </c>
      <c r="Q108">
        <v>6012</v>
      </c>
      <c r="R108"/>
      <c r="S108">
        <v>11306</v>
      </c>
      <c r="T108">
        <v>36474</v>
      </c>
    </row>
    <row r="109" spans="13:20">
      <c r="M109" s="12">
        <v>28</v>
      </c>
      <c r="N109">
        <v>18640</v>
      </c>
      <c r="O109">
        <v>14836</v>
      </c>
      <c r="P109">
        <v>3825</v>
      </c>
      <c r="Q109">
        <v>6321</v>
      </c>
      <c r="R109">
        <v>2143</v>
      </c>
      <c r="S109">
        <v>15963</v>
      </c>
      <c r="T109">
        <v>61728</v>
      </c>
    </row>
    <row r="110" spans="13:20">
      <c r="M110" s="12">
        <v>29</v>
      </c>
      <c r="N110"/>
      <c r="O110">
        <v>15938</v>
      </c>
      <c r="P110">
        <v>4366</v>
      </c>
      <c r="Q110">
        <v>6017</v>
      </c>
      <c r="R110">
        <v>16002</v>
      </c>
      <c r="S110">
        <v>15802</v>
      </c>
      <c r="T110">
        <v>58125</v>
      </c>
    </row>
    <row r="111" spans="13:20">
      <c r="M111" s="12">
        <v>30</v>
      </c>
      <c r="N111">
        <v>15498</v>
      </c>
      <c r="O111">
        <v>15715</v>
      </c>
      <c r="P111">
        <v>5051</v>
      </c>
      <c r="Q111">
        <v>6531</v>
      </c>
      <c r="R111">
        <v>15900</v>
      </c>
      <c r="S111">
        <v>6761</v>
      </c>
      <c r="T111">
        <v>65456</v>
      </c>
    </row>
    <row r="112" spans="13:20">
      <c r="M112" s="12">
        <v>31</v>
      </c>
      <c r="N112">
        <v>3142</v>
      </c>
      <c r="O112">
        <v>16902</v>
      </c>
      <c r="P112">
        <v>4619</v>
      </c>
      <c r="Q112">
        <v>6392</v>
      </c>
      <c r="R112">
        <v>15787</v>
      </c>
      <c r="S112"/>
      <c r="T112">
        <v>46842</v>
      </c>
    </row>
    <row r="113" spans="13:20">
      <c r="M113" s="12">
        <v>32</v>
      </c>
      <c r="N113"/>
      <c r="O113">
        <v>17769</v>
      </c>
      <c r="P113">
        <v>4493</v>
      </c>
      <c r="Q113">
        <v>5990</v>
      </c>
      <c r="R113"/>
      <c r="S113"/>
      <c r="T113">
        <v>28252</v>
      </c>
    </row>
    <row r="114" spans="13:20">
      <c r="M114" s="12">
        <v>33</v>
      </c>
      <c r="N114"/>
      <c r="O114">
        <v>17500</v>
      </c>
      <c r="P114">
        <v>5122</v>
      </c>
      <c r="Q114">
        <v>5593</v>
      </c>
      <c r="R114"/>
      <c r="S114"/>
      <c r="T114">
        <v>28215</v>
      </c>
    </row>
    <row r="115" spans="13:20">
      <c r="M115" s="12">
        <v>34</v>
      </c>
      <c r="N115">
        <v>1959</v>
      </c>
      <c r="O115">
        <v>18558</v>
      </c>
      <c r="P115">
        <v>4819</v>
      </c>
      <c r="Q115">
        <v>6614</v>
      </c>
      <c r="R115">
        <v>1959</v>
      </c>
      <c r="S115">
        <v>6448</v>
      </c>
      <c r="T115">
        <v>40357</v>
      </c>
    </row>
    <row r="116" spans="13:20">
      <c r="M116" s="12">
        <v>35</v>
      </c>
      <c r="N116">
        <v>6281</v>
      </c>
      <c r="O116">
        <v>18640</v>
      </c>
      <c r="P116">
        <v>5056</v>
      </c>
      <c r="Q116">
        <v>6281</v>
      </c>
      <c r="R116">
        <v>6281</v>
      </c>
      <c r="S116">
        <v>1792</v>
      </c>
      <c r="T116">
        <v>44331</v>
      </c>
    </row>
    <row r="117" spans="13:20">
      <c r="M117" s="12" t="s">
        <v>211</v>
      </c>
      <c r="N117">
        <v>64160</v>
      </c>
      <c r="O117">
        <v>214244</v>
      </c>
      <c r="P117">
        <v>52282</v>
      </c>
      <c r="Q117">
        <v>79798</v>
      </c>
      <c r="R117">
        <v>58072</v>
      </c>
      <c r="S117">
        <v>95352</v>
      </c>
      <c r="T117">
        <v>563908</v>
      </c>
    </row>
    <row r="118" spans="13:20">
      <c r="M118"/>
      <c r="N118"/>
      <c r="O118"/>
      <c r="P118"/>
      <c r="Q118"/>
      <c r="R118"/>
      <c r="S118"/>
      <c r="T118"/>
    </row>
    <row r="119" spans="13:20">
      <c r="M119"/>
      <c r="N119"/>
      <c r="O119"/>
      <c r="P119"/>
      <c r="Q119"/>
      <c r="R119"/>
      <c r="S119"/>
      <c r="T119"/>
    </row>
    <row r="120" spans="13:20">
      <c r="M120"/>
      <c r="N120"/>
      <c r="O120"/>
      <c r="P120"/>
      <c r="Q120"/>
      <c r="R120"/>
      <c r="S120"/>
      <c r="T120"/>
    </row>
    <row r="121" spans="13:20">
      <c r="M121"/>
      <c r="N121"/>
      <c r="O121"/>
      <c r="P121"/>
      <c r="Q121"/>
      <c r="R121"/>
      <c r="S121"/>
      <c r="T121"/>
    </row>
    <row r="122" spans="13:20">
      <c r="M122"/>
      <c r="N122"/>
      <c r="O122"/>
      <c r="P122"/>
      <c r="Q122"/>
      <c r="R122"/>
      <c r="S122"/>
      <c r="T122"/>
    </row>
    <row r="123" spans="13:20">
      <c r="M123"/>
      <c r="N123"/>
      <c r="O123"/>
      <c r="P123"/>
      <c r="Q123"/>
      <c r="R123"/>
      <c r="S123"/>
      <c r="T123"/>
    </row>
    <row r="124" spans="13:20">
      <c r="M124"/>
      <c r="N124"/>
      <c r="O124"/>
      <c r="P124"/>
      <c r="Q124"/>
      <c r="R124"/>
      <c r="S124"/>
      <c r="T124"/>
    </row>
    <row r="125" spans="13:20">
      <c r="M125"/>
      <c r="N125"/>
      <c r="O125"/>
      <c r="P125"/>
      <c r="Q125"/>
      <c r="R125"/>
      <c r="S125"/>
      <c r="T125"/>
    </row>
    <row r="126" spans="13:20">
      <c r="M126"/>
      <c r="N126"/>
      <c r="O126"/>
      <c r="P126"/>
      <c r="Q126"/>
      <c r="R126"/>
      <c r="S126"/>
      <c r="T126"/>
    </row>
    <row r="127" spans="13:20">
      <c r="M127"/>
      <c r="N127"/>
      <c r="O127"/>
      <c r="P127"/>
      <c r="Q127"/>
      <c r="R127"/>
      <c r="S127"/>
      <c r="T127"/>
    </row>
    <row r="128" spans="13:20">
      <c r="M128"/>
      <c r="N128"/>
      <c r="O128"/>
      <c r="P128"/>
      <c r="Q128"/>
      <c r="R128"/>
      <c r="S128"/>
      <c r="T128"/>
    </row>
    <row r="129" spans="13:20">
      <c r="M129"/>
      <c r="N129"/>
      <c r="O129"/>
      <c r="P129"/>
      <c r="Q129"/>
      <c r="R129"/>
      <c r="S129"/>
      <c r="T129"/>
    </row>
    <row r="130" spans="13:20">
      <c r="M130"/>
      <c r="N130"/>
      <c r="O130"/>
      <c r="P130"/>
      <c r="Q130"/>
      <c r="R130"/>
      <c r="S130"/>
      <c r="T130"/>
    </row>
    <row r="131" spans="13:20">
      <c r="M131"/>
      <c r="N131"/>
      <c r="O131"/>
      <c r="P131"/>
      <c r="Q131"/>
      <c r="R131"/>
      <c r="S131"/>
      <c r="T131"/>
    </row>
    <row r="132" spans="13:20">
      <c r="M132"/>
      <c r="N132"/>
      <c r="O132"/>
      <c r="P132"/>
      <c r="Q132"/>
      <c r="R132"/>
      <c r="S132"/>
      <c r="T132"/>
    </row>
    <row r="133" spans="13:20">
      <c r="M133"/>
      <c r="N133"/>
      <c r="O133"/>
      <c r="P133"/>
      <c r="Q133"/>
      <c r="R133"/>
      <c r="S133"/>
      <c r="T133"/>
    </row>
    <row r="134" spans="13:20">
      <c r="M134"/>
      <c r="N134"/>
      <c r="O134"/>
      <c r="P134"/>
      <c r="Q134"/>
      <c r="R134"/>
      <c r="S134"/>
      <c r="T134"/>
    </row>
    <row r="135" spans="13:20">
      <c r="M135"/>
      <c r="N135"/>
      <c r="O135"/>
      <c r="P135"/>
      <c r="Q135"/>
      <c r="R135"/>
      <c r="S135"/>
      <c r="T135"/>
    </row>
    <row r="136" spans="13:20">
      <c r="M136"/>
      <c r="N136"/>
      <c r="O136"/>
      <c r="P136"/>
      <c r="Q136"/>
      <c r="R136"/>
      <c r="S136"/>
      <c r="T136"/>
    </row>
    <row r="137" spans="13:20">
      <c r="M137"/>
      <c r="N137"/>
      <c r="O137"/>
      <c r="P137"/>
      <c r="Q137"/>
      <c r="R137"/>
      <c r="S137"/>
      <c r="T137"/>
    </row>
    <row r="138" spans="13:20">
      <c r="M138"/>
      <c r="N138"/>
      <c r="O138"/>
      <c r="P138"/>
      <c r="Q138"/>
      <c r="R138"/>
      <c r="S138"/>
      <c r="T138"/>
    </row>
    <row r="139" spans="13:20">
      <c r="M139"/>
      <c r="N139"/>
      <c r="O139"/>
      <c r="P139"/>
      <c r="Q139"/>
      <c r="R139"/>
      <c r="S139"/>
      <c r="T139"/>
    </row>
    <row r="140" spans="13:20">
      <c r="M140"/>
      <c r="N140"/>
      <c r="O140"/>
      <c r="P140"/>
      <c r="Q140"/>
      <c r="R140"/>
      <c r="S140"/>
      <c r="T140"/>
    </row>
    <row r="141" spans="13:20">
      <c r="M141"/>
      <c r="N141"/>
      <c r="O141"/>
      <c r="P141"/>
      <c r="Q141"/>
      <c r="R141"/>
      <c r="S141"/>
      <c r="T141"/>
    </row>
    <row r="142" spans="13:20">
      <c r="M142"/>
      <c r="N142"/>
      <c r="O142"/>
      <c r="P142"/>
      <c r="Q142"/>
      <c r="R142"/>
      <c r="S142"/>
      <c r="T142"/>
    </row>
    <row r="143" spans="13:20">
      <c r="M143"/>
      <c r="N143"/>
      <c r="O143"/>
      <c r="P143"/>
      <c r="Q143"/>
      <c r="R143"/>
      <c r="S143"/>
      <c r="T143"/>
    </row>
    <row r="144" spans="13:20">
      <c r="M144"/>
      <c r="N144"/>
      <c r="O144"/>
      <c r="P144"/>
      <c r="Q144"/>
      <c r="R144"/>
      <c r="S144"/>
      <c r="T144"/>
    </row>
    <row r="145" spans="13:20">
      <c r="M145"/>
      <c r="N145"/>
      <c r="O145"/>
      <c r="P145"/>
      <c r="Q145"/>
      <c r="R145"/>
      <c r="S145"/>
      <c r="T145"/>
    </row>
    <row r="146" spans="13:20">
      <c r="M146"/>
      <c r="N146"/>
      <c r="O146"/>
      <c r="P146"/>
      <c r="Q146"/>
      <c r="R146"/>
      <c r="S146"/>
      <c r="T146"/>
    </row>
    <row r="147" spans="13:20">
      <c r="M147"/>
      <c r="N147"/>
      <c r="O147"/>
      <c r="P147"/>
      <c r="Q147"/>
      <c r="R147"/>
      <c r="S147"/>
      <c r="T147"/>
    </row>
    <row r="148" spans="13:20">
      <c r="M148"/>
      <c r="N148"/>
      <c r="O148"/>
      <c r="P148"/>
      <c r="Q148"/>
      <c r="R148"/>
      <c r="S148"/>
      <c r="T148"/>
    </row>
    <row r="149" spans="13:20">
      <c r="M149"/>
      <c r="N149"/>
      <c r="O149"/>
      <c r="P149"/>
      <c r="Q149"/>
      <c r="R149"/>
      <c r="S149"/>
      <c r="T149"/>
    </row>
    <row r="150" spans="13:20">
      <c r="M150"/>
      <c r="N150"/>
      <c r="O150"/>
      <c r="P150"/>
      <c r="Q150"/>
      <c r="R150"/>
      <c r="S150"/>
      <c r="T150"/>
    </row>
    <row r="151" spans="13:20">
      <c r="M151"/>
      <c r="N151"/>
      <c r="O151"/>
      <c r="P151"/>
      <c r="Q151"/>
      <c r="R151"/>
      <c r="S151"/>
      <c r="T151"/>
    </row>
    <row r="152" spans="13:20">
      <c r="M152"/>
      <c r="N152"/>
      <c r="O152"/>
      <c r="P152"/>
      <c r="Q152"/>
      <c r="R152"/>
      <c r="S152"/>
      <c r="T152"/>
    </row>
    <row r="153" spans="13:20">
      <c r="M153"/>
      <c r="N153"/>
      <c r="O153"/>
      <c r="P153"/>
      <c r="Q153"/>
      <c r="R153"/>
      <c r="S153"/>
      <c r="T153"/>
    </row>
    <row r="154" spans="13:20">
      <c r="M154"/>
      <c r="N154"/>
      <c r="O154"/>
      <c r="P154"/>
      <c r="Q154"/>
      <c r="R154"/>
      <c r="S154"/>
      <c r="T154"/>
    </row>
    <row r="155" spans="13:20">
      <c r="M155"/>
      <c r="N155"/>
      <c r="O155"/>
      <c r="P155"/>
      <c r="Q155"/>
      <c r="R155"/>
      <c r="S155"/>
      <c r="T155"/>
    </row>
    <row r="156" spans="13:20">
      <c r="M156"/>
      <c r="N156"/>
      <c r="O156"/>
      <c r="P156"/>
      <c r="Q156"/>
      <c r="R156"/>
      <c r="S156"/>
      <c r="T156"/>
    </row>
    <row r="157" spans="13:20">
      <c r="M157"/>
      <c r="N157"/>
      <c r="O157"/>
      <c r="P157"/>
      <c r="Q157"/>
      <c r="R157"/>
      <c r="S157"/>
      <c r="T157"/>
    </row>
    <row r="158" spans="13:20">
      <c r="M158"/>
      <c r="N158"/>
      <c r="O158"/>
      <c r="P158"/>
      <c r="Q158"/>
      <c r="R158"/>
      <c r="S158"/>
      <c r="T158"/>
    </row>
    <row r="159" spans="13:20">
      <c r="M159"/>
      <c r="N159"/>
      <c r="O159"/>
      <c r="P159"/>
      <c r="Q159"/>
      <c r="R159"/>
      <c r="S159"/>
      <c r="T159"/>
    </row>
    <row r="160" spans="13:20">
      <c r="M160"/>
      <c r="N160"/>
      <c r="O160"/>
      <c r="P160"/>
      <c r="Q160"/>
      <c r="R160"/>
      <c r="S160"/>
      <c r="T160"/>
    </row>
    <row r="161" spans="13:20">
      <c r="M161"/>
      <c r="N161"/>
      <c r="O161"/>
      <c r="P161"/>
      <c r="Q161"/>
      <c r="R161"/>
      <c r="S161"/>
      <c r="T161"/>
    </row>
    <row r="162" spans="13:20">
      <c r="M162"/>
      <c r="N162"/>
      <c r="O162"/>
      <c r="P162"/>
      <c r="Q162"/>
      <c r="R162"/>
      <c r="S162"/>
      <c r="T162"/>
    </row>
    <row r="163" spans="13:20">
      <c r="M163"/>
      <c r="N163"/>
      <c r="O163"/>
      <c r="P163"/>
      <c r="Q163"/>
      <c r="R163"/>
      <c r="S163"/>
      <c r="T163"/>
    </row>
    <row r="164" spans="13:20">
      <c r="M164"/>
      <c r="N164"/>
      <c r="O164"/>
      <c r="P164"/>
      <c r="Q164"/>
      <c r="R164"/>
      <c r="S164"/>
      <c r="T164"/>
    </row>
    <row r="165" spans="13:20">
      <c r="M165"/>
      <c r="N165"/>
      <c r="O165"/>
      <c r="P165"/>
      <c r="Q165"/>
      <c r="R165"/>
      <c r="S165"/>
      <c r="T165"/>
    </row>
    <row r="166" spans="13:20">
      <c r="M166"/>
      <c r="N166"/>
      <c r="O166"/>
      <c r="P166"/>
      <c r="Q166"/>
      <c r="R166"/>
      <c r="S166"/>
      <c r="T166"/>
    </row>
    <row r="167" spans="13:20">
      <c r="M167"/>
      <c r="N167"/>
      <c r="O167"/>
      <c r="P167"/>
      <c r="Q167"/>
      <c r="R167"/>
      <c r="S167"/>
      <c r="T167"/>
    </row>
    <row r="168" spans="13:20">
      <c r="M168"/>
      <c r="N168"/>
      <c r="O168"/>
      <c r="P168"/>
      <c r="Q168"/>
      <c r="R168"/>
      <c r="S168"/>
      <c r="T168"/>
    </row>
    <row r="169" spans="13:20">
      <c r="M169"/>
      <c r="N169"/>
      <c r="O169"/>
      <c r="P169"/>
      <c r="Q169"/>
      <c r="R169"/>
      <c r="S169"/>
      <c r="T169"/>
    </row>
    <row r="170" spans="13:20">
      <c r="M170"/>
      <c r="N170"/>
      <c r="O170"/>
      <c r="P170"/>
      <c r="Q170"/>
      <c r="R170"/>
      <c r="S170"/>
      <c r="T170"/>
    </row>
    <row r="171" spans="13:20">
      <c r="M171"/>
      <c r="N171"/>
      <c r="O171"/>
      <c r="P171"/>
      <c r="Q171"/>
      <c r="R171"/>
      <c r="S171"/>
      <c r="T171"/>
    </row>
    <row r="172" spans="13:20">
      <c r="M172"/>
      <c r="N172"/>
      <c r="O172"/>
      <c r="P172"/>
      <c r="Q172"/>
      <c r="R172"/>
      <c r="S172"/>
      <c r="T172"/>
    </row>
    <row r="173" spans="13:20">
      <c r="M173"/>
      <c r="N173"/>
      <c r="O173"/>
      <c r="P173"/>
      <c r="Q173"/>
      <c r="R173"/>
      <c r="S173"/>
      <c r="T173"/>
    </row>
    <row r="174" spans="13:20">
      <c r="M174"/>
      <c r="N174"/>
      <c r="O174"/>
      <c r="P174"/>
      <c r="Q174"/>
      <c r="R174"/>
      <c r="S174"/>
      <c r="T174"/>
    </row>
    <row r="175" spans="13:20">
      <c r="M175"/>
      <c r="N175"/>
      <c r="O175"/>
      <c r="P175"/>
      <c r="Q175"/>
      <c r="R175"/>
      <c r="S175"/>
      <c r="T175"/>
    </row>
    <row r="176" spans="13:20">
      <c r="M176"/>
      <c r="N176"/>
      <c r="O176"/>
      <c r="P176"/>
      <c r="Q176"/>
      <c r="R176"/>
      <c r="S176"/>
      <c r="T176"/>
    </row>
    <row r="177" spans="13:20">
      <c r="M177"/>
      <c r="N177"/>
      <c r="O177"/>
      <c r="P177"/>
      <c r="Q177"/>
      <c r="R177"/>
      <c r="S177"/>
      <c r="T177"/>
    </row>
    <row r="178" spans="13:20">
      <c r="M178"/>
      <c r="N178"/>
      <c r="O178"/>
      <c r="P178"/>
      <c r="Q178"/>
      <c r="R178"/>
      <c r="S178"/>
      <c r="T178"/>
    </row>
    <row r="179" spans="13:20">
      <c r="M179"/>
      <c r="N179"/>
      <c r="O179"/>
      <c r="P179"/>
      <c r="Q179"/>
      <c r="R179"/>
      <c r="S179"/>
      <c r="T179"/>
    </row>
    <row r="180" spans="13:20">
      <c r="M180"/>
      <c r="N180"/>
      <c r="O180"/>
      <c r="P180"/>
      <c r="Q180"/>
      <c r="R180"/>
      <c r="S180"/>
      <c r="T180"/>
    </row>
    <row r="181" spans="13:20">
      <c r="M181"/>
      <c r="N181"/>
      <c r="O181"/>
      <c r="P181"/>
      <c r="Q181"/>
      <c r="R181"/>
      <c r="S181"/>
      <c r="T181"/>
    </row>
    <row r="182" spans="13:20">
      <c r="M182"/>
      <c r="N182"/>
      <c r="O182"/>
      <c r="P182"/>
      <c r="Q182"/>
      <c r="R182"/>
      <c r="S182"/>
      <c r="T182"/>
    </row>
    <row r="183" spans="13:20">
      <c r="M183"/>
      <c r="N183"/>
      <c r="O183"/>
      <c r="P183"/>
      <c r="Q183"/>
      <c r="R183"/>
      <c r="S183"/>
      <c r="T183"/>
    </row>
    <row r="184" spans="13:20">
      <c r="M184"/>
      <c r="N184"/>
      <c r="O184"/>
      <c r="P184"/>
      <c r="Q184"/>
      <c r="R184"/>
      <c r="S184"/>
      <c r="T184"/>
    </row>
    <row r="185" spans="13:20">
      <c r="M185"/>
      <c r="N185"/>
      <c r="O185"/>
      <c r="P185"/>
      <c r="Q185"/>
      <c r="R185"/>
      <c r="S185"/>
      <c r="T185"/>
    </row>
    <row r="186" spans="13:20">
      <c r="M186"/>
      <c r="N186"/>
      <c r="O186"/>
      <c r="P186"/>
      <c r="Q186"/>
      <c r="R186"/>
      <c r="S186"/>
      <c r="T186"/>
    </row>
    <row r="187" spans="13:20">
      <c r="M187"/>
      <c r="N187"/>
      <c r="O187"/>
      <c r="P187"/>
      <c r="Q187"/>
      <c r="R187"/>
      <c r="S187"/>
      <c r="T187"/>
    </row>
    <row r="188" spans="13:20">
      <c r="M188"/>
      <c r="N188"/>
      <c r="O188"/>
      <c r="P188"/>
      <c r="Q188"/>
      <c r="R188"/>
      <c r="S188"/>
      <c r="T188"/>
    </row>
    <row r="189" spans="13:20">
      <c r="M189"/>
      <c r="N189"/>
      <c r="O189"/>
      <c r="P189"/>
      <c r="Q189"/>
      <c r="R189"/>
      <c r="S189"/>
      <c r="T189"/>
    </row>
  </sheetData>
  <mergeCells count="2">
    <mergeCell ref="E1:F1"/>
    <mergeCell ref="E12:F12"/>
  </mergeCells>
  <pageMargins left="0.7" right="0.7" top="0.75" bottom="0.75" header="0.3" footer="0.3"/>
  <tableParts count="3">
    <tablePart r:id="rId10"/>
    <tablePart r:id="rId11"/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7FAB5C-1F80-4E15-A5A0-B404DD0831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Cleaned Data</vt:lpstr>
      <vt:lpstr>DUMP</vt:lpstr>
      <vt:lpstr>Supporting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Chatrath Varun</cp:lastModifiedBy>
  <dcterms:modified xsi:type="dcterms:W3CDTF">2026-03-27T11:35:58Z</dcterms:modified>
</cp:coreProperties>
</file>